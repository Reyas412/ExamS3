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8800" windowHeight="12315"/>
  </bookViews>
  <sheets>
    <sheet name="TODO BNGRC" sheetId="1" r:id="rId1"/>
    <sheet name="Récap Équipe" sheetId="2" r:id="rId2"/>
  </sheets>
  <calcPr calcId="152511" iterateDelta="1E-4"/>
</workbook>
</file>

<file path=xl/calcChain.xml><?xml version="1.0" encoding="utf-8"?>
<calcChain xmlns="http://schemas.openxmlformats.org/spreadsheetml/2006/main">
  <c r="G13" i="2" l="1"/>
  <c r="F13" i="2"/>
  <c r="G12" i="2"/>
  <c r="F12" i="2"/>
  <c r="G11" i="2"/>
  <c r="F11" i="2"/>
  <c r="G9" i="2"/>
  <c r="F9" i="2"/>
  <c r="G8" i="2"/>
  <c r="F8" i="2"/>
  <c r="G7" i="2"/>
  <c r="F7" i="2"/>
  <c r="G5" i="2"/>
  <c r="F5" i="2"/>
  <c r="G4" i="2"/>
  <c r="F4" i="2"/>
  <c r="G3" i="2"/>
  <c r="F3" i="2"/>
  <c r="G99" i="1"/>
  <c r="F99" i="1"/>
  <c r="I99" i="1" s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H99" i="1" s="1"/>
  <c r="I74" i="1"/>
  <c r="G74" i="1"/>
  <c r="F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H74" i="1" s="1"/>
  <c r="G43" i="1"/>
  <c r="F43" i="1"/>
  <c r="I43" i="1" s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H43" i="1" s="1"/>
</calcChain>
</file>

<file path=xl/sharedStrings.xml><?xml version="1.0" encoding="utf-8"?>
<sst xmlns="http://schemas.openxmlformats.org/spreadsheetml/2006/main" count="584" uniqueCount="152">
  <si>
    <t xml:space="preserve">  V1 — PHASE BASE  |  Jour 1 → 2  (13h00 › 12h00)  •  Budget : 1 380 min</t>
  </si>
  <si>
    <t>Catégorie</t>
  </si>
  <si>
    <t>Module</t>
  </si>
  <si>
    <t>Description</t>
  </si>
  <si>
    <t>Type</t>
  </si>
  <si>
    <t>Assigné à</t>
  </si>
  <si>
    <t>Estimation
(min)</t>
  </si>
  <si>
    <t>Temps passé
(min)</t>
  </si>
  <si>
    <t>Reste
(min)</t>
  </si>
  <si>
    <t>Avanc.
(%)</t>
  </si>
  <si>
    <t>Statut</t>
  </si>
  <si>
    <t>Pages Villes</t>
  </si>
  <si>
    <t>Villes</t>
  </si>
  <si>
    <t>Liste villes : tableau nom/région/besoins, filtre région, pagination</t>
  </si>
  <si>
    <t>View</t>
  </si>
  <si>
    <t>Alexia</t>
  </si>
  <si>
    <t>Terminé</t>
  </si>
  <si>
    <t>Ajout ville : formulaire + validation JS + messages erreur + bouton annuler</t>
  </si>
  <si>
    <t>Détail ville : infos + liste besoins + liens édition/suppression</t>
  </si>
  <si>
    <t>Édition ville : formulaire pré-rempli + validation + confirmation</t>
  </si>
  <si>
    <t>Pages Besoins</t>
  </si>
  <si>
    <t>Besoins</t>
  </si>
  <si>
    <t>Liste besoins : tableau complet + filtres ville/type + calcul montant auto</t>
  </si>
  <si>
    <t>Ajout besoin : dropdown + radio type + calcul temps réel + validation</t>
  </si>
  <si>
    <t>Édition besoin : formulaire pré-rempli + recalcul auto + confirmation</t>
  </si>
  <si>
    <t>Pages Dons</t>
  </si>
  <si>
    <t>Dons</t>
  </si>
  <si>
    <t>Liste dons : tableau type/désignation/qté/date/statut + filtres + total</t>
  </si>
  <si>
    <t>Ajout don : radio type + champs + date auto non modifiable + validation</t>
  </si>
  <si>
    <t>Édition don : formulaire (sauf date) + alerte si déjà attribué</t>
  </si>
  <si>
    <t>Dashboard</t>
  </si>
  <si>
    <t>Dashboard principal : 3 sections villes/dons/stats globales</t>
  </si>
  <si>
    <t>Dashboard besoins : récap par ville + satisfaits/restants</t>
  </si>
  <si>
    <t>Dashboard dons : graphique reçus/distribués + liste derniers dons</t>
  </si>
  <si>
    <t>Simulation</t>
  </si>
  <si>
    <t>Dispatch</t>
  </si>
  <si>
    <t>Page simulation V1 : tableau résultat dispatch + bouton lancer (sans valider)</t>
  </si>
  <si>
    <t>Design / UX</t>
  </si>
  <si>
    <t>UX</t>
  </si>
  <si>
    <t>Design cohérent : palette couleurs + typographie + espacements uniformes</t>
  </si>
  <si>
    <t>Icônes Font Awesome : ville, région, don, besoin, dispatch, actions</t>
  </si>
  <si>
    <t>Responsive design : mobile 320px min + tableaux adaptés + menu hamburger</t>
  </si>
  <si>
    <t>Animations : loader + toast notifications + transitions boutons</t>
  </si>
  <si>
    <t>Base de données</t>
  </si>
  <si>
    <t>DB Structure</t>
  </si>
  <si>
    <t>Créer tables V1 : regions, villes, besoins, dons, dispatch</t>
  </si>
  <si>
    <t>Danie</t>
  </si>
  <si>
    <t>Index d'optimisation : villes.region_id, besoins.ville_id, dons.date_saisie</t>
  </si>
  <si>
    <t>Données de test : 3 régions, 10 villes, 20 besoins variés, 15 dons variés</t>
  </si>
  <si>
    <t>Modèles</t>
  </si>
  <si>
    <t>Ville.php : getAll, getById, create, update, delete, getByRegion, getWithBesoins</t>
  </si>
  <si>
    <t>Model</t>
  </si>
  <si>
    <t>Besoin.php : CRUD complet + getByVille + getByType + getTotalMontant + getBesoinsRestants</t>
  </si>
  <si>
    <t>Don.php : CRUD complet + getByType + getDisponibles + getAttribues + getDonsArgent</t>
  </si>
  <si>
    <t>DispatchModel.php : getAll, create, getByVille, getByBesoin, deleteAll</t>
  </si>
  <si>
    <t>Contrôleurs</t>
  </si>
  <si>
    <t>VilleController.php : 7 actions CRUD + validation nom obligatoire/région</t>
  </si>
  <si>
    <t>Controller</t>
  </si>
  <si>
    <t>BesoinController.php : 6 actions CRUD + validation quantité &gt; 0, prix &gt; 0, type valide</t>
  </si>
  <si>
    <t>DonController.php : 6 actions CRUD + validation quantité/type</t>
  </si>
  <si>
    <t>DashboardController.php : index, besoins, dons, getStatistiques</t>
  </si>
  <si>
    <t>SimulationController.php : index, simulate, algorithmeDispatch</t>
  </si>
  <si>
    <t>Sécurité</t>
  </si>
  <si>
    <t>PDO + requêtes préparées + anti-XSS + CSRF tokens sur tous les formulaires</t>
  </si>
  <si>
    <t>Gestion erreurs : try-catch DB + logger erreurs + messages utilisateur clairs</t>
  </si>
  <si>
    <t>Optimisation requêtes : JOIN + cache résultats lourds + LIMIT pagination</t>
  </si>
  <si>
    <t>Algorithme</t>
  </si>
  <si>
    <t>Concevoir algo dispatch : 6 étapes (récupérer besoins/dons triés, attribuer, marquer)</t>
  </si>
  <si>
    <t>Lova</t>
  </si>
  <si>
    <t>Logique correspondance : type compatible + désignation identique + quantité min</t>
  </si>
  <si>
    <t>Gestion quantités : réduire don/besoin après attribution + passer au suivant si épuisé</t>
  </si>
  <si>
    <t>simulerDispatch() : retourner tableau résultat sans modifier la base de données</t>
  </si>
  <si>
    <t>Tests</t>
  </si>
  <si>
    <t>Cas simples : 1 besoin + 1 don (exact / excédentaire / insuffisant)</t>
  </si>
  <si>
    <t>Test</t>
  </si>
  <si>
    <t>Cas complexes : multi besoins/dons, types différents, ordre chronologique respecté</t>
  </si>
  <si>
    <t>TOTAL  V1</t>
  </si>
  <si>
    <t xml:space="preserve">  V2 — ACHATS &amp; SIMULATION  |  Jour 3 → 4  (13h00 › 12h00)  •  Budget : 1 380 min</t>
  </si>
  <si>
    <t>Achats</t>
  </si>
  <si>
    <t>Page Achats : liste besoins restants + bouton acheter + popup qté + frais % + vérif argent</t>
  </si>
  <si>
    <t>Filtre achats par ville : dropdown sélection + affichage filtré + bouton tout afficher</t>
  </si>
  <si>
    <t>Liste achats effectués : tableau ville/besoin/qté/TTC/date + filtres ville et date</t>
  </si>
  <si>
    <t>Message d'erreur : blocage si besoin existe dans dons disponibles + message explicite</t>
  </si>
  <si>
    <t>Configuration</t>
  </si>
  <si>
    <t>Config</t>
  </si>
  <si>
    <t>Page Config : champ frais achat % + sauvegarde DB + validation 0 à 100%</t>
  </si>
  <si>
    <t>Simulation V2 : bouton Simuler + bouton Valider + modal confirmation + diff avant/après</t>
  </si>
  <si>
    <t>Dashboard financier : 5 sections montants (besoins total/satisfaits/restants + dons argent)</t>
  </si>
  <si>
    <t>Bouton Actualiser AJAX : rechargement sans refresh + animation + mise à jour temps réel</t>
  </si>
  <si>
    <t>DB Achats</t>
  </si>
  <si>
    <t>Table achats : id, ville_id, besoin_id, qté, montant_ht, frais_%, TTC, date + index</t>
  </si>
  <si>
    <t>DB Config</t>
  </si>
  <si>
    <t>Table configuration + insert ligne frais_achat = 10</t>
  </si>
  <si>
    <t>DB Dispatch</t>
  </si>
  <si>
    <t>Modifier table dispatch : ajouter colonne statut + date_validation</t>
  </si>
  <si>
    <t>Achat.php : getAll, create, getByVille, checkDisponibilite, calculerTTC, verifierArgent</t>
  </si>
  <si>
    <t>ConfigModel.php : get, set, getFraisAchat</t>
  </si>
  <si>
    <t>AchatController.php : index, create, store + 3 validations + filtrerParVille</t>
  </si>
  <si>
    <t>ConfigController.php : index + update + validation frais entre 0 et 100</t>
  </si>
  <si>
    <t>SimulationController V2 : action validate + differenceSimulation + statuts simulé/validé</t>
  </si>
  <si>
    <t>DashboardController V2 : action financier + refreshAjax + retour JSON montants</t>
  </si>
  <si>
    <t>besoinDansDoonsRestants() : parcourir dons disponibles + retourner booléen</t>
  </si>
  <si>
    <t>calculerMontantAvecFrais() : formule montant x (1 + frais/100)</t>
  </si>
  <si>
    <t>verifierSoldeArgent() : total dons argent - montant déjà utilisé pour achats</t>
  </si>
  <si>
    <t>Transaction achat complète : vérif conditions + enregistrer + créer don + màj solde</t>
  </si>
  <si>
    <t>Mode preview simulation : retourner résultat sans toucher à la base</t>
  </si>
  <si>
    <t>enregistrerDispatch() : insérer dispatches + statut validé + màj statuts dons</t>
  </si>
  <si>
    <t>comparerEtat() : retourner nb besoins satisfaits + dons utilisés avant/après</t>
  </si>
  <si>
    <t>Tester achat : argent suffisant + insuffisant + besoin dans dons + calcul frais correct</t>
  </si>
  <si>
    <t>Tester simulation vs validation : DB non modifiée en simulation, bien enregistrée en validation</t>
  </si>
  <si>
    <t>Tester cas limites : qté = 0 (échec), frais négatifs (échec), frais &gt; 100% (alerte)</t>
  </si>
  <si>
    <t>TOTAL  V2</t>
  </si>
  <si>
    <t xml:space="preserve">  V3 — NOUVEAUX DISPATCH  |  Jour 5 → 6  (13h00 › 12h00)  •  Budget : 1 380 min</t>
  </si>
  <si>
    <t>Dispatch Période</t>
  </si>
  <si>
    <t>Page Nouveau Dispatch : sélection dates début/fin + dons de la période + historique</t>
  </si>
  <si>
    <t>Visualisation dispatch : timeline + graphique évolution des dispatches dans le temps</t>
  </si>
  <si>
    <t>Déploiement</t>
  </si>
  <si>
    <t>Upload fichiers sur serveur : FTP/SFTP + vérif permissions 755 + config .htaccess</t>
  </si>
  <si>
    <t>À faire</t>
  </si>
  <si>
    <t>Nettoyage code final : supprimer code mort + fichiers test + harmoniser indentation</t>
  </si>
  <si>
    <t>DB Batch</t>
  </si>
  <si>
    <t>Modifier dispatch : ajouter batch_id + index. Créer table dispatch_batches</t>
  </si>
  <si>
    <t>DispatchModel V3 : createBatch, getDonsPeriode, dispatcherNouveauxDons, getHistoriqueBatches</t>
  </si>
  <si>
    <t>DispatchController.php : index, nouveau, create, historique, dispatcherParDate</t>
  </si>
  <si>
    <t>Export base de données : base.sql + data.sql + script migration V1 &gt; V2 &gt; V3</t>
  </si>
  <si>
    <t>Préparation serveur : PHP &gt;= 7.4 + MySQL/MariaDB + configurer VirtualHost</t>
  </si>
  <si>
    <t>Config base serveur : créer DB + importer base.sql + modifier config/database.php</t>
  </si>
  <si>
    <t>dispatcherPeriode(debut, fin) : dons de la période + besoins restants + algo classique</t>
  </si>
  <si>
    <t>Batch dispatch : générer batch_id unique + enregistrer dispatch_batches + lier dispatches</t>
  </si>
  <si>
    <t>getHistorique() : liste des batches avec stats (date, nb dons traités, nb besoins satisfaits)</t>
  </si>
  <si>
    <t>Tester dispatch périodique : plusieurs dons + période vide + seuls dons de la période utilisés</t>
  </si>
  <si>
    <t>Tester historique : créer 3 batches + vérifier listing + vérifier stats de chaque batch</t>
  </si>
  <si>
    <t>Tests Généraux</t>
  </si>
  <si>
    <t>Tests unitaires modèles : Ville CRUD + Besoin calculs + Don disponibilité + Dispatch</t>
  </si>
  <si>
    <t>Tests fonctions utilitaires : calculs math (frais, totaux) + validations + filtres/tris</t>
  </si>
  <si>
    <t>Tests intégration flux complets : ville→besoin→don→dispatch + achat + simulation→validation</t>
  </si>
  <si>
    <t>Tests formulaires : données valides + invalides + gestion erreurs serveur</t>
  </si>
  <si>
    <t>Tests performance : 100 villes + 500 besoins + 300 dons + dispatch &lt; 2 secondes</t>
  </si>
  <si>
    <t>Tests post-déploiement : toutes pages + connexion DB + dispatch en production + responsive</t>
  </si>
  <si>
    <t>TOTAL  V3</t>
  </si>
  <si>
    <t>RÉCAPITULATIF PAR PERSONNE &amp; VERSION</t>
  </si>
  <si>
    <t>Personne</t>
  </si>
  <si>
    <t>Version</t>
  </si>
  <si>
    <t>Nb Tâches</t>
  </si>
  <si>
    <t>Estimation (min)</t>
  </si>
  <si>
    <t>Temps passé (min)</t>
  </si>
  <si>
    <t>Reste (min)</t>
  </si>
  <si>
    <t>Avanc. (%)</t>
  </si>
  <si>
    <t>V1</t>
  </si>
  <si>
    <t>V2</t>
  </si>
  <si>
    <t>V3</t>
  </si>
  <si>
    <t>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</si>
</sst>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3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  <font>
      <b/>
      <sz val="12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E0E0E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0D0D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2" fillId="3" borderId="1" xfId="0" applyFont="1" applyFill="1" applyBorder="1" applyAlignment="1">
      <alignment horizontal="left" vertical="center" inden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abSelected="1" workbookViewId="0">
      <pane ySplit="2" topLeftCell="A87" activePane="bottomLeft" state="frozen"/>
      <selection pane="bottomLeft" activeCell="D21" sqref="D21"/>
    </sheetView>
  </sheetViews>
  <sheetFormatPr baseColWidth="10" defaultColWidth="9.140625" defaultRowHeight="15" x14ac:dyDescent="0.25"/>
  <cols>
    <col min="1" max="1" width="20" customWidth="1"/>
    <col min="2" max="2" width="18" customWidth="1"/>
    <col min="3" max="3" width="52" customWidth="1"/>
    <col min="4" max="4" width="17" customWidth="1"/>
    <col min="5" max="8" width="12" customWidth="1"/>
    <col min="9" max="9" width="10" customWidth="1"/>
    <col min="10" max="10" width="12" customWidth="1"/>
  </cols>
  <sheetData>
    <row r="1" spans="1:10" ht="30" customHeight="1" x14ac:dyDescent="0.25">
      <c r="A1" s="14"/>
      <c r="B1" s="13"/>
      <c r="C1" s="13"/>
      <c r="D1" s="13"/>
      <c r="E1" s="13"/>
      <c r="F1" s="13"/>
      <c r="G1" s="13"/>
      <c r="H1" s="13"/>
      <c r="I1" s="13"/>
      <c r="J1" s="13"/>
    </row>
    <row r="2" spans="1:10" ht="24" customHeight="1" x14ac:dyDescent="0.25">
      <c r="A2" s="12" t="s">
        <v>0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ht="26.1" customHeight="1" x14ac:dyDescent="0.25">
      <c r="A4" s="2" t="s">
        <v>11</v>
      </c>
      <c r="B4" s="2" t="s">
        <v>12</v>
      </c>
      <c r="C4" s="2" t="s">
        <v>13</v>
      </c>
      <c r="D4" s="2" t="s">
        <v>14</v>
      </c>
      <c r="E4" s="3" t="s">
        <v>15</v>
      </c>
      <c r="F4" s="4">
        <v>55</v>
      </c>
      <c r="G4" s="4">
        <v>58</v>
      </c>
      <c r="H4" s="4">
        <f t="shared" ref="H4:H42" si="0">F4-G4</f>
        <v>-3</v>
      </c>
      <c r="I4" s="4">
        <f t="shared" ref="I4:I43" si="1">IF(F4=0,0,ROUND((G4/F4)*100,0))</f>
        <v>105</v>
      </c>
      <c r="J4" s="5" t="s">
        <v>16</v>
      </c>
    </row>
    <row r="5" spans="1:10" ht="26.1" customHeight="1" x14ac:dyDescent="0.25">
      <c r="A5" s="6" t="s">
        <v>11</v>
      </c>
      <c r="B5" s="6" t="s">
        <v>12</v>
      </c>
      <c r="C5" s="6" t="s">
        <v>17</v>
      </c>
      <c r="D5" s="6" t="s">
        <v>14</v>
      </c>
      <c r="E5" s="7" t="s">
        <v>15</v>
      </c>
      <c r="F5" s="8">
        <v>40</v>
      </c>
      <c r="G5" s="8">
        <v>43</v>
      </c>
      <c r="H5" s="8">
        <f t="shared" si="0"/>
        <v>-3</v>
      </c>
      <c r="I5" s="8">
        <f t="shared" si="1"/>
        <v>108</v>
      </c>
      <c r="J5" s="9" t="s">
        <v>16</v>
      </c>
    </row>
    <row r="6" spans="1:10" ht="26.1" customHeight="1" x14ac:dyDescent="0.25">
      <c r="A6" s="2" t="s">
        <v>11</v>
      </c>
      <c r="B6" s="2" t="s">
        <v>12</v>
      </c>
      <c r="C6" s="2" t="s">
        <v>18</v>
      </c>
      <c r="D6" s="2" t="s">
        <v>14</v>
      </c>
      <c r="E6" s="3" t="s">
        <v>15</v>
      </c>
      <c r="F6" s="4">
        <v>35</v>
      </c>
      <c r="G6" s="4">
        <v>37</v>
      </c>
      <c r="H6" s="4">
        <f t="shared" si="0"/>
        <v>-2</v>
      </c>
      <c r="I6" s="4">
        <f t="shared" si="1"/>
        <v>106</v>
      </c>
      <c r="J6" s="5" t="s">
        <v>16</v>
      </c>
    </row>
    <row r="7" spans="1:10" ht="26.1" customHeight="1" x14ac:dyDescent="0.25">
      <c r="A7" s="6" t="s">
        <v>11</v>
      </c>
      <c r="B7" s="6" t="s">
        <v>12</v>
      </c>
      <c r="C7" s="6" t="s">
        <v>19</v>
      </c>
      <c r="D7" s="6" t="s">
        <v>14</v>
      </c>
      <c r="E7" s="7" t="s">
        <v>15</v>
      </c>
      <c r="F7" s="8">
        <v>35</v>
      </c>
      <c r="G7" s="8">
        <v>38</v>
      </c>
      <c r="H7" s="8">
        <f t="shared" si="0"/>
        <v>-3</v>
      </c>
      <c r="I7" s="8">
        <f t="shared" si="1"/>
        <v>109</v>
      </c>
      <c r="J7" s="9" t="s">
        <v>16</v>
      </c>
    </row>
    <row r="8" spans="1:10" ht="26.1" customHeight="1" x14ac:dyDescent="0.25">
      <c r="A8" s="2" t="s">
        <v>20</v>
      </c>
      <c r="B8" s="2" t="s">
        <v>21</v>
      </c>
      <c r="C8" s="2" t="s">
        <v>22</v>
      </c>
      <c r="D8" s="2" t="s">
        <v>14</v>
      </c>
      <c r="E8" s="3" t="s">
        <v>15</v>
      </c>
      <c r="F8" s="4">
        <v>55</v>
      </c>
      <c r="G8" s="4">
        <v>60</v>
      </c>
      <c r="H8" s="4">
        <f t="shared" si="0"/>
        <v>-5</v>
      </c>
      <c r="I8" s="4">
        <f t="shared" si="1"/>
        <v>109</v>
      </c>
      <c r="J8" s="5" t="s">
        <v>16</v>
      </c>
    </row>
    <row r="9" spans="1:10" ht="26.1" customHeight="1" x14ac:dyDescent="0.25">
      <c r="A9" s="6" t="s">
        <v>20</v>
      </c>
      <c r="B9" s="6" t="s">
        <v>21</v>
      </c>
      <c r="C9" s="6" t="s">
        <v>23</v>
      </c>
      <c r="D9" s="6" t="s">
        <v>14</v>
      </c>
      <c r="E9" s="7" t="s">
        <v>15</v>
      </c>
      <c r="F9" s="8">
        <v>50</v>
      </c>
      <c r="G9" s="8">
        <v>52</v>
      </c>
      <c r="H9" s="8">
        <f t="shared" si="0"/>
        <v>-2</v>
      </c>
      <c r="I9" s="8">
        <f t="shared" si="1"/>
        <v>104</v>
      </c>
      <c r="J9" s="9" t="s">
        <v>16</v>
      </c>
    </row>
    <row r="10" spans="1:10" ht="26.1" customHeight="1" x14ac:dyDescent="0.25">
      <c r="A10" s="2" t="s">
        <v>20</v>
      </c>
      <c r="B10" s="2" t="s">
        <v>21</v>
      </c>
      <c r="C10" s="2" t="s">
        <v>24</v>
      </c>
      <c r="D10" s="2" t="s">
        <v>14</v>
      </c>
      <c r="E10" s="3" t="s">
        <v>15</v>
      </c>
      <c r="F10" s="4">
        <v>35</v>
      </c>
      <c r="G10" s="4">
        <v>36</v>
      </c>
      <c r="H10" s="4">
        <f t="shared" si="0"/>
        <v>-1</v>
      </c>
      <c r="I10" s="4">
        <f t="shared" si="1"/>
        <v>103</v>
      </c>
      <c r="J10" s="5" t="s">
        <v>16</v>
      </c>
    </row>
    <row r="11" spans="1:10" ht="26.1" customHeight="1" x14ac:dyDescent="0.25">
      <c r="A11" s="6" t="s">
        <v>25</v>
      </c>
      <c r="B11" s="6" t="s">
        <v>26</v>
      </c>
      <c r="C11" s="6" t="s">
        <v>27</v>
      </c>
      <c r="D11" s="6" t="s">
        <v>14</v>
      </c>
      <c r="E11" s="7" t="s">
        <v>15</v>
      </c>
      <c r="F11" s="8">
        <v>50</v>
      </c>
      <c r="G11" s="8">
        <v>54</v>
      </c>
      <c r="H11" s="8">
        <f t="shared" si="0"/>
        <v>-4</v>
      </c>
      <c r="I11" s="8">
        <f t="shared" si="1"/>
        <v>108</v>
      </c>
      <c r="J11" s="9" t="s">
        <v>16</v>
      </c>
    </row>
    <row r="12" spans="1:10" ht="26.1" customHeight="1" x14ac:dyDescent="0.25">
      <c r="A12" s="2" t="s">
        <v>25</v>
      </c>
      <c r="B12" s="2" t="s">
        <v>26</v>
      </c>
      <c r="C12" s="2" t="s">
        <v>28</v>
      </c>
      <c r="D12" s="2" t="s">
        <v>14</v>
      </c>
      <c r="E12" s="3" t="s">
        <v>15</v>
      </c>
      <c r="F12" s="4">
        <v>40</v>
      </c>
      <c r="G12" s="4">
        <v>42</v>
      </c>
      <c r="H12" s="4">
        <f t="shared" si="0"/>
        <v>-2</v>
      </c>
      <c r="I12" s="4">
        <f t="shared" si="1"/>
        <v>105</v>
      </c>
      <c r="J12" s="5" t="s">
        <v>16</v>
      </c>
    </row>
    <row r="13" spans="1:10" ht="26.1" customHeight="1" x14ac:dyDescent="0.25">
      <c r="A13" s="6" t="s">
        <v>25</v>
      </c>
      <c r="B13" s="6" t="s">
        <v>26</v>
      </c>
      <c r="C13" s="6" t="s">
        <v>29</v>
      </c>
      <c r="D13" s="6" t="s">
        <v>14</v>
      </c>
      <c r="E13" s="7" t="s">
        <v>15</v>
      </c>
      <c r="F13" s="8">
        <v>30</v>
      </c>
      <c r="G13" s="8">
        <v>33</v>
      </c>
      <c r="H13" s="8">
        <f t="shared" si="0"/>
        <v>-3</v>
      </c>
      <c r="I13" s="8">
        <f t="shared" si="1"/>
        <v>110</v>
      </c>
      <c r="J13" s="9" t="s">
        <v>16</v>
      </c>
    </row>
    <row r="14" spans="1:10" ht="26.1" customHeight="1" x14ac:dyDescent="0.25">
      <c r="A14" s="2" t="s">
        <v>30</v>
      </c>
      <c r="B14" s="2" t="s">
        <v>30</v>
      </c>
      <c r="C14" s="2" t="s">
        <v>31</v>
      </c>
      <c r="D14" s="2" t="s">
        <v>14</v>
      </c>
      <c r="E14" s="3" t="s">
        <v>15</v>
      </c>
      <c r="F14" s="4">
        <v>55</v>
      </c>
      <c r="G14" s="4">
        <v>60</v>
      </c>
      <c r="H14" s="4">
        <f t="shared" si="0"/>
        <v>-5</v>
      </c>
      <c r="I14" s="4">
        <f t="shared" si="1"/>
        <v>109</v>
      </c>
      <c r="J14" s="5" t="s">
        <v>16</v>
      </c>
    </row>
    <row r="15" spans="1:10" ht="26.1" customHeight="1" x14ac:dyDescent="0.25">
      <c r="A15" s="6" t="s">
        <v>30</v>
      </c>
      <c r="B15" s="6" t="s">
        <v>30</v>
      </c>
      <c r="C15" s="6" t="s">
        <v>32</v>
      </c>
      <c r="D15" s="6" t="s">
        <v>14</v>
      </c>
      <c r="E15" s="7" t="s">
        <v>15</v>
      </c>
      <c r="F15" s="8">
        <v>40</v>
      </c>
      <c r="G15" s="8">
        <v>44</v>
      </c>
      <c r="H15" s="8">
        <f t="shared" si="0"/>
        <v>-4</v>
      </c>
      <c r="I15" s="8">
        <f t="shared" si="1"/>
        <v>110</v>
      </c>
      <c r="J15" s="9" t="s">
        <v>16</v>
      </c>
    </row>
    <row r="16" spans="1:10" ht="26.1" customHeight="1" x14ac:dyDescent="0.25">
      <c r="A16" s="2" t="s">
        <v>30</v>
      </c>
      <c r="B16" s="2" t="s">
        <v>30</v>
      </c>
      <c r="C16" s="2" t="s">
        <v>33</v>
      </c>
      <c r="D16" s="2" t="s">
        <v>14</v>
      </c>
      <c r="E16" s="3" t="s">
        <v>15</v>
      </c>
      <c r="F16" s="4">
        <v>45</v>
      </c>
      <c r="G16" s="4">
        <v>48</v>
      </c>
      <c r="H16" s="4">
        <f t="shared" si="0"/>
        <v>-3</v>
      </c>
      <c r="I16" s="4">
        <f t="shared" si="1"/>
        <v>107</v>
      </c>
      <c r="J16" s="5" t="s">
        <v>16</v>
      </c>
    </row>
    <row r="17" spans="1:10" ht="26.1" customHeight="1" x14ac:dyDescent="0.25">
      <c r="A17" s="6" t="s">
        <v>34</v>
      </c>
      <c r="B17" s="6" t="s">
        <v>35</v>
      </c>
      <c r="C17" s="6" t="s">
        <v>36</v>
      </c>
      <c r="D17" s="6" t="s">
        <v>14</v>
      </c>
      <c r="E17" s="7" t="s">
        <v>15</v>
      </c>
      <c r="F17" s="8">
        <v>55</v>
      </c>
      <c r="G17" s="8">
        <v>58</v>
      </c>
      <c r="H17" s="8">
        <f t="shared" si="0"/>
        <v>-3</v>
      </c>
      <c r="I17" s="8">
        <f t="shared" si="1"/>
        <v>105</v>
      </c>
      <c r="J17" s="9" t="s">
        <v>16</v>
      </c>
    </row>
    <row r="18" spans="1:10" ht="26.1" customHeight="1" x14ac:dyDescent="0.25">
      <c r="A18" s="2" t="s">
        <v>37</v>
      </c>
      <c r="B18" s="2" t="s">
        <v>38</v>
      </c>
      <c r="C18" s="2" t="s">
        <v>39</v>
      </c>
      <c r="D18" s="2" t="s">
        <v>151</v>
      </c>
      <c r="E18" s="3" t="s">
        <v>15</v>
      </c>
      <c r="F18" s="4">
        <v>65</v>
      </c>
      <c r="G18" s="4">
        <v>70</v>
      </c>
      <c r="H18" s="4">
        <f t="shared" si="0"/>
        <v>-5</v>
      </c>
      <c r="I18" s="4">
        <f t="shared" si="1"/>
        <v>108</v>
      </c>
      <c r="J18" s="5" t="s">
        <v>16</v>
      </c>
    </row>
    <row r="19" spans="1:10" ht="26.1" customHeight="1" x14ac:dyDescent="0.25">
      <c r="A19" s="6" t="s">
        <v>37</v>
      </c>
      <c r="B19" s="6" t="s">
        <v>38</v>
      </c>
      <c r="C19" s="6" t="s">
        <v>40</v>
      </c>
      <c r="D19" s="6" t="s">
        <v>151</v>
      </c>
      <c r="E19" s="7" t="s">
        <v>15</v>
      </c>
      <c r="F19" s="8">
        <v>25</v>
      </c>
      <c r="G19" s="8">
        <v>25</v>
      </c>
      <c r="H19" s="8">
        <f t="shared" si="0"/>
        <v>0</v>
      </c>
      <c r="I19" s="8">
        <f t="shared" si="1"/>
        <v>100</v>
      </c>
      <c r="J19" s="9" t="s">
        <v>16</v>
      </c>
    </row>
    <row r="20" spans="1:10" ht="26.1" customHeight="1" x14ac:dyDescent="0.25">
      <c r="A20" s="2" t="s">
        <v>37</v>
      </c>
      <c r="B20" s="2" t="s">
        <v>38</v>
      </c>
      <c r="C20" s="2" t="s">
        <v>41</v>
      </c>
      <c r="D20" s="2" t="s">
        <v>151</v>
      </c>
      <c r="E20" s="3" t="s">
        <v>15</v>
      </c>
      <c r="F20" s="4">
        <v>65</v>
      </c>
      <c r="G20" s="4">
        <v>68</v>
      </c>
      <c r="H20" s="4">
        <f t="shared" si="0"/>
        <v>-3</v>
      </c>
      <c r="I20" s="4">
        <f t="shared" si="1"/>
        <v>105</v>
      </c>
      <c r="J20" s="5" t="s">
        <v>16</v>
      </c>
    </row>
    <row r="21" spans="1:10" ht="26.1" customHeight="1" x14ac:dyDescent="0.25">
      <c r="A21" s="6" t="s">
        <v>37</v>
      </c>
      <c r="B21" s="6" t="s">
        <v>38</v>
      </c>
      <c r="C21" s="6" t="s">
        <v>42</v>
      </c>
      <c r="D21" s="6" t="s">
        <v>151</v>
      </c>
      <c r="E21" s="7" t="s">
        <v>15</v>
      </c>
      <c r="F21" s="8">
        <v>45</v>
      </c>
      <c r="G21" s="8">
        <v>47</v>
      </c>
      <c r="H21" s="8">
        <f t="shared" si="0"/>
        <v>-2</v>
      </c>
      <c r="I21" s="8">
        <f t="shared" si="1"/>
        <v>104</v>
      </c>
      <c r="J21" s="9" t="s">
        <v>16</v>
      </c>
    </row>
    <row r="22" spans="1:10" ht="26.1" customHeight="1" x14ac:dyDescent="0.25">
      <c r="A22" s="2" t="s">
        <v>43</v>
      </c>
      <c r="B22" s="2" t="s">
        <v>44</v>
      </c>
      <c r="C22" s="2" t="s">
        <v>45</v>
      </c>
      <c r="D22" s="2" t="s">
        <v>43</v>
      </c>
      <c r="E22" s="3" t="s">
        <v>46</v>
      </c>
      <c r="F22" s="4">
        <v>50</v>
      </c>
      <c r="G22" s="4">
        <v>52</v>
      </c>
      <c r="H22" s="4">
        <f t="shared" si="0"/>
        <v>-2</v>
      </c>
      <c r="I22" s="4">
        <f t="shared" si="1"/>
        <v>104</v>
      </c>
      <c r="J22" s="5" t="s">
        <v>16</v>
      </c>
    </row>
    <row r="23" spans="1:10" ht="26.1" customHeight="1" x14ac:dyDescent="0.25">
      <c r="A23" s="6" t="s">
        <v>43</v>
      </c>
      <c r="B23" s="6" t="s">
        <v>44</v>
      </c>
      <c r="C23" s="6" t="s">
        <v>47</v>
      </c>
      <c r="D23" s="6" t="s">
        <v>43</v>
      </c>
      <c r="E23" s="7" t="s">
        <v>46</v>
      </c>
      <c r="F23" s="8">
        <v>25</v>
      </c>
      <c r="G23" s="8">
        <v>27</v>
      </c>
      <c r="H23" s="8">
        <f t="shared" si="0"/>
        <v>-2</v>
      </c>
      <c r="I23" s="8">
        <f t="shared" si="1"/>
        <v>108</v>
      </c>
      <c r="J23" s="9" t="s">
        <v>16</v>
      </c>
    </row>
    <row r="24" spans="1:10" ht="26.1" customHeight="1" x14ac:dyDescent="0.25">
      <c r="A24" s="2" t="s">
        <v>43</v>
      </c>
      <c r="B24" s="2" t="s">
        <v>44</v>
      </c>
      <c r="C24" s="2" t="s">
        <v>48</v>
      </c>
      <c r="D24" s="2" t="s">
        <v>43</v>
      </c>
      <c r="E24" s="3" t="s">
        <v>46</v>
      </c>
      <c r="F24" s="4">
        <v>40</v>
      </c>
      <c r="G24" s="4">
        <v>43</v>
      </c>
      <c r="H24" s="4">
        <f t="shared" si="0"/>
        <v>-3</v>
      </c>
      <c r="I24" s="4">
        <f t="shared" si="1"/>
        <v>108</v>
      </c>
      <c r="J24" s="5" t="s">
        <v>16</v>
      </c>
    </row>
    <row r="25" spans="1:10" ht="26.1" customHeight="1" x14ac:dyDescent="0.25">
      <c r="A25" s="6" t="s">
        <v>49</v>
      </c>
      <c r="B25" s="6" t="s">
        <v>12</v>
      </c>
      <c r="C25" s="6" t="s">
        <v>50</v>
      </c>
      <c r="D25" s="6" t="s">
        <v>51</v>
      </c>
      <c r="E25" s="7" t="s">
        <v>46</v>
      </c>
      <c r="F25" s="8">
        <v>55</v>
      </c>
      <c r="G25" s="8">
        <v>57</v>
      </c>
      <c r="H25" s="8">
        <f t="shared" si="0"/>
        <v>-2</v>
      </c>
      <c r="I25" s="8">
        <f t="shared" si="1"/>
        <v>104</v>
      </c>
      <c r="J25" s="9" t="s">
        <v>16</v>
      </c>
    </row>
    <row r="26" spans="1:10" ht="26.1" customHeight="1" x14ac:dyDescent="0.25">
      <c r="A26" s="2" t="s">
        <v>49</v>
      </c>
      <c r="B26" s="2" t="s">
        <v>21</v>
      </c>
      <c r="C26" s="2" t="s">
        <v>52</v>
      </c>
      <c r="D26" s="2" t="s">
        <v>51</v>
      </c>
      <c r="E26" s="3" t="s">
        <v>46</v>
      </c>
      <c r="F26" s="4">
        <v>60</v>
      </c>
      <c r="G26" s="4">
        <v>64</v>
      </c>
      <c r="H26" s="4">
        <f t="shared" si="0"/>
        <v>-4</v>
      </c>
      <c r="I26" s="4">
        <f t="shared" si="1"/>
        <v>107</v>
      </c>
      <c r="J26" s="5" t="s">
        <v>16</v>
      </c>
    </row>
    <row r="27" spans="1:10" ht="26.1" customHeight="1" x14ac:dyDescent="0.25">
      <c r="A27" s="6" t="s">
        <v>49</v>
      </c>
      <c r="B27" s="6" t="s">
        <v>26</v>
      </c>
      <c r="C27" s="6" t="s">
        <v>53</v>
      </c>
      <c r="D27" s="6" t="s">
        <v>51</v>
      </c>
      <c r="E27" s="7" t="s">
        <v>46</v>
      </c>
      <c r="F27" s="8">
        <v>60</v>
      </c>
      <c r="G27" s="8">
        <v>63</v>
      </c>
      <c r="H27" s="8">
        <f t="shared" si="0"/>
        <v>-3</v>
      </c>
      <c r="I27" s="8">
        <f t="shared" si="1"/>
        <v>105</v>
      </c>
      <c r="J27" s="9" t="s">
        <v>16</v>
      </c>
    </row>
    <row r="28" spans="1:10" ht="26.1" customHeight="1" x14ac:dyDescent="0.25">
      <c r="A28" s="2" t="s">
        <v>49</v>
      </c>
      <c r="B28" s="2" t="s">
        <v>35</v>
      </c>
      <c r="C28" s="2" t="s">
        <v>54</v>
      </c>
      <c r="D28" s="2" t="s">
        <v>51</v>
      </c>
      <c r="E28" s="3" t="s">
        <v>46</v>
      </c>
      <c r="F28" s="4">
        <v>45</v>
      </c>
      <c r="G28" s="4">
        <v>48</v>
      </c>
      <c r="H28" s="4">
        <f t="shared" si="0"/>
        <v>-3</v>
      </c>
      <c r="I28" s="4">
        <f t="shared" si="1"/>
        <v>107</v>
      </c>
      <c r="J28" s="5" t="s">
        <v>16</v>
      </c>
    </row>
    <row r="29" spans="1:10" ht="26.1" customHeight="1" x14ac:dyDescent="0.25">
      <c r="A29" s="6" t="s">
        <v>55</v>
      </c>
      <c r="B29" s="6" t="s">
        <v>12</v>
      </c>
      <c r="C29" s="6" t="s">
        <v>56</v>
      </c>
      <c r="D29" s="6" t="s">
        <v>57</v>
      </c>
      <c r="E29" s="7" t="s">
        <v>46</v>
      </c>
      <c r="F29" s="8">
        <v>55</v>
      </c>
      <c r="G29" s="8">
        <v>58</v>
      </c>
      <c r="H29" s="8">
        <f t="shared" si="0"/>
        <v>-3</v>
      </c>
      <c r="I29" s="8">
        <f t="shared" si="1"/>
        <v>105</v>
      </c>
      <c r="J29" s="9" t="s">
        <v>16</v>
      </c>
    </row>
    <row r="30" spans="1:10" ht="26.1" customHeight="1" x14ac:dyDescent="0.25">
      <c r="A30" s="2" t="s">
        <v>55</v>
      </c>
      <c r="B30" s="2" t="s">
        <v>21</v>
      </c>
      <c r="C30" s="2" t="s">
        <v>58</v>
      </c>
      <c r="D30" s="2" t="s">
        <v>57</v>
      </c>
      <c r="E30" s="3" t="s">
        <v>46</v>
      </c>
      <c r="F30" s="4">
        <v>55</v>
      </c>
      <c r="G30" s="4">
        <v>58</v>
      </c>
      <c r="H30" s="4">
        <f t="shared" si="0"/>
        <v>-3</v>
      </c>
      <c r="I30" s="4">
        <f t="shared" si="1"/>
        <v>105</v>
      </c>
      <c r="J30" s="5" t="s">
        <v>16</v>
      </c>
    </row>
    <row r="31" spans="1:10" ht="26.1" customHeight="1" x14ac:dyDescent="0.25">
      <c r="A31" s="6" t="s">
        <v>55</v>
      </c>
      <c r="B31" s="6" t="s">
        <v>26</v>
      </c>
      <c r="C31" s="6" t="s">
        <v>59</v>
      </c>
      <c r="D31" s="6" t="s">
        <v>57</v>
      </c>
      <c r="E31" s="7" t="s">
        <v>46</v>
      </c>
      <c r="F31" s="8">
        <v>50</v>
      </c>
      <c r="G31" s="8">
        <v>53</v>
      </c>
      <c r="H31" s="8">
        <f t="shared" si="0"/>
        <v>-3</v>
      </c>
      <c r="I31" s="8">
        <f t="shared" si="1"/>
        <v>106</v>
      </c>
      <c r="J31" s="9" t="s">
        <v>16</v>
      </c>
    </row>
    <row r="32" spans="1:10" ht="26.1" customHeight="1" x14ac:dyDescent="0.25">
      <c r="A32" s="2" t="s">
        <v>55</v>
      </c>
      <c r="B32" s="2" t="s">
        <v>30</v>
      </c>
      <c r="C32" s="2" t="s">
        <v>60</v>
      </c>
      <c r="D32" s="2" t="s">
        <v>57</v>
      </c>
      <c r="E32" s="3" t="s">
        <v>46</v>
      </c>
      <c r="F32" s="4">
        <v>45</v>
      </c>
      <c r="G32" s="4">
        <v>48</v>
      </c>
      <c r="H32" s="4">
        <f t="shared" si="0"/>
        <v>-3</v>
      </c>
      <c r="I32" s="4">
        <f t="shared" si="1"/>
        <v>107</v>
      </c>
      <c r="J32" s="5" t="s">
        <v>16</v>
      </c>
    </row>
    <row r="33" spans="1:10" ht="26.1" customHeight="1" x14ac:dyDescent="0.25">
      <c r="A33" s="6" t="s">
        <v>55</v>
      </c>
      <c r="B33" s="6" t="s">
        <v>35</v>
      </c>
      <c r="C33" s="6" t="s">
        <v>61</v>
      </c>
      <c r="D33" s="6" t="s">
        <v>57</v>
      </c>
      <c r="E33" s="7" t="s">
        <v>46</v>
      </c>
      <c r="F33" s="8">
        <v>50</v>
      </c>
      <c r="G33" s="8">
        <v>53</v>
      </c>
      <c r="H33" s="8">
        <f t="shared" si="0"/>
        <v>-3</v>
      </c>
      <c r="I33" s="8">
        <f t="shared" si="1"/>
        <v>106</v>
      </c>
      <c r="J33" s="9" t="s">
        <v>16</v>
      </c>
    </row>
    <row r="34" spans="1:10" ht="26.1" customHeight="1" x14ac:dyDescent="0.25">
      <c r="A34" s="2" t="s">
        <v>62</v>
      </c>
      <c r="B34" s="2" t="s">
        <v>62</v>
      </c>
      <c r="C34" s="2" t="s">
        <v>63</v>
      </c>
      <c r="D34" s="2" t="s">
        <v>43</v>
      </c>
      <c r="E34" s="3" t="s">
        <v>46</v>
      </c>
      <c r="F34" s="4">
        <v>65</v>
      </c>
      <c r="G34" s="4">
        <v>68</v>
      </c>
      <c r="H34" s="4">
        <f t="shared" si="0"/>
        <v>-3</v>
      </c>
      <c r="I34" s="4">
        <f t="shared" si="1"/>
        <v>105</v>
      </c>
      <c r="J34" s="5" t="s">
        <v>16</v>
      </c>
    </row>
    <row r="35" spans="1:10" ht="26.1" customHeight="1" x14ac:dyDescent="0.25">
      <c r="A35" s="6" t="s">
        <v>62</v>
      </c>
      <c r="B35" s="6" t="s">
        <v>62</v>
      </c>
      <c r="C35" s="6" t="s">
        <v>64</v>
      </c>
      <c r="D35" s="6" t="s">
        <v>57</v>
      </c>
      <c r="E35" s="7" t="s">
        <v>46</v>
      </c>
      <c r="F35" s="8">
        <v>35</v>
      </c>
      <c r="G35" s="8">
        <v>37</v>
      </c>
      <c r="H35" s="8">
        <f t="shared" si="0"/>
        <v>-2</v>
      </c>
      <c r="I35" s="8">
        <f t="shared" si="1"/>
        <v>106</v>
      </c>
      <c r="J35" s="9" t="s">
        <v>16</v>
      </c>
    </row>
    <row r="36" spans="1:10" ht="26.1" customHeight="1" x14ac:dyDescent="0.25">
      <c r="A36" s="2" t="s">
        <v>62</v>
      </c>
      <c r="B36" s="2" t="s">
        <v>62</v>
      </c>
      <c r="C36" s="2" t="s">
        <v>65</v>
      </c>
      <c r="D36" s="2" t="s">
        <v>43</v>
      </c>
      <c r="E36" s="3" t="s">
        <v>46</v>
      </c>
      <c r="F36" s="4">
        <v>30</v>
      </c>
      <c r="G36" s="4">
        <v>32</v>
      </c>
      <c r="H36" s="4">
        <f t="shared" si="0"/>
        <v>-2</v>
      </c>
      <c r="I36" s="4">
        <f t="shared" si="1"/>
        <v>107</v>
      </c>
      <c r="J36" s="5" t="s">
        <v>16</v>
      </c>
    </row>
    <row r="37" spans="1:10" ht="26.1" customHeight="1" x14ac:dyDescent="0.25">
      <c r="A37" s="6" t="s">
        <v>66</v>
      </c>
      <c r="B37" s="6" t="s">
        <v>35</v>
      </c>
      <c r="C37" s="6" t="s">
        <v>67</v>
      </c>
      <c r="D37" s="6" t="s">
        <v>66</v>
      </c>
      <c r="E37" s="7" t="s">
        <v>68</v>
      </c>
      <c r="F37" s="8">
        <v>75</v>
      </c>
      <c r="G37" s="8">
        <v>78</v>
      </c>
      <c r="H37" s="8">
        <f t="shared" si="0"/>
        <v>-3</v>
      </c>
      <c r="I37" s="8">
        <f t="shared" si="1"/>
        <v>104</v>
      </c>
      <c r="J37" s="9" t="s">
        <v>16</v>
      </c>
    </row>
    <row r="38" spans="1:10" ht="26.1" customHeight="1" x14ac:dyDescent="0.25">
      <c r="A38" s="2" t="s">
        <v>66</v>
      </c>
      <c r="B38" s="2" t="s">
        <v>35</v>
      </c>
      <c r="C38" s="2" t="s">
        <v>69</v>
      </c>
      <c r="D38" s="2" t="s">
        <v>66</v>
      </c>
      <c r="E38" s="3" t="s">
        <v>68</v>
      </c>
      <c r="F38" s="4">
        <v>60</v>
      </c>
      <c r="G38" s="4">
        <v>63</v>
      </c>
      <c r="H38" s="4">
        <f t="shared" si="0"/>
        <v>-3</v>
      </c>
      <c r="I38" s="4">
        <f t="shared" si="1"/>
        <v>105</v>
      </c>
      <c r="J38" s="5" t="s">
        <v>16</v>
      </c>
    </row>
    <row r="39" spans="1:10" ht="26.1" customHeight="1" x14ac:dyDescent="0.25">
      <c r="A39" s="6" t="s">
        <v>66</v>
      </c>
      <c r="B39" s="6" t="s">
        <v>35</v>
      </c>
      <c r="C39" s="6" t="s">
        <v>70</v>
      </c>
      <c r="D39" s="6" t="s">
        <v>66</v>
      </c>
      <c r="E39" s="7" t="s">
        <v>68</v>
      </c>
      <c r="F39" s="8">
        <v>55</v>
      </c>
      <c r="G39" s="8">
        <v>57</v>
      </c>
      <c r="H39" s="8">
        <f t="shared" si="0"/>
        <v>-2</v>
      </c>
      <c r="I39" s="8">
        <f t="shared" si="1"/>
        <v>104</v>
      </c>
      <c r="J39" s="9" t="s">
        <v>16</v>
      </c>
    </row>
    <row r="40" spans="1:10" ht="26.1" customHeight="1" x14ac:dyDescent="0.25">
      <c r="A40" s="2" t="s">
        <v>66</v>
      </c>
      <c r="B40" s="2" t="s">
        <v>35</v>
      </c>
      <c r="C40" s="2" t="s">
        <v>71</v>
      </c>
      <c r="D40" s="2" t="s">
        <v>66</v>
      </c>
      <c r="E40" s="3" t="s">
        <v>68</v>
      </c>
      <c r="F40" s="4">
        <v>40</v>
      </c>
      <c r="G40" s="4">
        <v>43</v>
      </c>
      <c r="H40" s="4">
        <f t="shared" si="0"/>
        <v>-3</v>
      </c>
      <c r="I40" s="4">
        <f t="shared" si="1"/>
        <v>108</v>
      </c>
      <c r="J40" s="5" t="s">
        <v>16</v>
      </c>
    </row>
    <row r="41" spans="1:10" ht="26.1" customHeight="1" x14ac:dyDescent="0.25">
      <c r="A41" s="6" t="s">
        <v>72</v>
      </c>
      <c r="B41" s="6" t="s">
        <v>35</v>
      </c>
      <c r="C41" s="6" t="s">
        <v>73</v>
      </c>
      <c r="D41" s="6" t="s">
        <v>74</v>
      </c>
      <c r="E41" s="7" t="s">
        <v>68</v>
      </c>
      <c r="F41" s="8">
        <v>40</v>
      </c>
      <c r="G41" s="8">
        <v>42</v>
      </c>
      <c r="H41" s="8">
        <f t="shared" si="0"/>
        <v>-2</v>
      </c>
      <c r="I41" s="8">
        <f t="shared" si="1"/>
        <v>105</v>
      </c>
      <c r="J41" s="9" t="s">
        <v>16</v>
      </c>
    </row>
    <row r="42" spans="1:10" ht="26.1" customHeight="1" x14ac:dyDescent="0.25">
      <c r="A42" s="2" t="s">
        <v>72</v>
      </c>
      <c r="B42" s="2" t="s">
        <v>35</v>
      </c>
      <c r="C42" s="2" t="s">
        <v>75</v>
      </c>
      <c r="D42" s="2" t="s">
        <v>74</v>
      </c>
      <c r="E42" s="3" t="s">
        <v>68</v>
      </c>
      <c r="F42" s="4">
        <v>55</v>
      </c>
      <c r="G42" s="4">
        <v>58</v>
      </c>
      <c r="H42" s="4">
        <f t="shared" si="0"/>
        <v>-3</v>
      </c>
      <c r="I42" s="4">
        <f t="shared" si="1"/>
        <v>105</v>
      </c>
      <c r="J42" s="5" t="s">
        <v>16</v>
      </c>
    </row>
    <row r="43" spans="1:10" ht="20.100000000000001" customHeight="1" x14ac:dyDescent="0.25">
      <c r="A43" s="15" t="s">
        <v>76</v>
      </c>
      <c r="B43" s="13"/>
      <c r="C43" s="13"/>
      <c r="D43" s="13"/>
      <c r="E43" s="13"/>
      <c r="F43" s="10">
        <f>SUM(F4:F42)</f>
        <v>1865</v>
      </c>
      <c r="G43" s="10">
        <f>SUM(G4:G42)</f>
        <v>1975</v>
      </c>
      <c r="H43" s="10">
        <f>SUM(H4:H42)</f>
        <v>-110</v>
      </c>
      <c r="I43" s="10">
        <f t="shared" si="1"/>
        <v>106</v>
      </c>
      <c r="J43" s="11"/>
    </row>
    <row r="44" spans="1:10" ht="8.1" customHeight="1" x14ac:dyDescent="0.25"/>
    <row r="45" spans="1:10" ht="24" customHeight="1" x14ac:dyDescent="0.25">
      <c r="A45" s="12" t="s">
        <v>77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ht="30" customHeight="1" x14ac:dyDescent="0.25">
      <c r="A46" s="1" t="s">
        <v>1</v>
      </c>
      <c r="B46" s="1" t="s">
        <v>2</v>
      </c>
      <c r="C46" s="1" t="s">
        <v>3</v>
      </c>
      <c r="D46" s="1" t="s">
        <v>4</v>
      </c>
      <c r="E46" s="1" t="s">
        <v>5</v>
      </c>
      <c r="F46" s="1" t="s">
        <v>6</v>
      </c>
      <c r="G46" s="1" t="s">
        <v>7</v>
      </c>
      <c r="H46" s="1" t="s">
        <v>8</v>
      </c>
      <c r="I46" s="1" t="s">
        <v>9</v>
      </c>
      <c r="J46" s="1" t="s">
        <v>10</v>
      </c>
    </row>
    <row r="47" spans="1:10" ht="26.1" customHeight="1" x14ac:dyDescent="0.25">
      <c r="A47" s="2" t="s">
        <v>78</v>
      </c>
      <c r="B47" s="2" t="s">
        <v>78</v>
      </c>
      <c r="C47" s="2" t="s">
        <v>79</v>
      </c>
      <c r="D47" s="2" t="s">
        <v>14</v>
      </c>
      <c r="E47" s="3" t="s">
        <v>15</v>
      </c>
      <c r="F47" s="4">
        <v>65</v>
      </c>
      <c r="G47" s="4">
        <v>68</v>
      </c>
      <c r="H47" s="4">
        <f t="shared" ref="H47:H73" si="2">F47-G47</f>
        <v>-3</v>
      </c>
      <c r="I47" s="4">
        <f t="shared" ref="I47:I74" si="3">IF(F47=0,0,ROUND((G47/F47)*100,0))</f>
        <v>105</v>
      </c>
      <c r="J47" s="5" t="s">
        <v>16</v>
      </c>
    </row>
    <row r="48" spans="1:10" ht="26.1" customHeight="1" x14ac:dyDescent="0.25">
      <c r="A48" s="6" t="s">
        <v>78</v>
      </c>
      <c r="B48" s="6" t="s">
        <v>78</v>
      </c>
      <c r="C48" s="6" t="s">
        <v>80</v>
      </c>
      <c r="D48" s="6" t="s">
        <v>14</v>
      </c>
      <c r="E48" s="7" t="s">
        <v>15</v>
      </c>
      <c r="F48" s="8">
        <v>28</v>
      </c>
      <c r="G48" s="8">
        <v>30</v>
      </c>
      <c r="H48" s="8">
        <f t="shared" si="2"/>
        <v>-2</v>
      </c>
      <c r="I48" s="8">
        <f t="shared" si="3"/>
        <v>107</v>
      </c>
      <c r="J48" s="9" t="s">
        <v>16</v>
      </c>
    </row>
    <row r="49" spans="1:10" ht="26.1" customHeight="1" x14ac:dyDescent="0.25">
      <c r="A49" s="2" t="s">
        <v>78</v>
      </c>
      <c r="B49" s="2" t="s">
        <v>78</v>
      </c>
      <c r="C49" s="2" t="s">
        <v>81</v>
      </c>
      <c r="D49" s="2" t="s">
        <v>14</v>
      </c>
      <c r="E49" s="3" t="s">
        <v>15</v>
      </c>
      <c r="F49" s="4">
        <v>30</v>
      </c>
      <c r="G49" s="4">
        <v>32</v>
      </c>
      <c r="H49" s="4">
        <f t="shared" si="2"/>
        <v>-2</v>
      </c>
      <c r="I49" s="4">
        <f t="shared" si="3"/>
        <v>107</v>
      </c>
      <c r="J49" s="5" t="s">
        <v>16</v>
      </c>
    </row>
    <row r="50" spans="1:10" ht="26.1" customHeight="1" x14ac:dyDescent="0.25">
      <c r="A50" s="6" t="s">
        <v>78</v>
      </c>
      <c r="B50" s="6" t="s">
        <v>78</v>
      </c>
      <c r="C50" s="6" t="s">
        <v>82</v>
      </c>
      <c r="D50" s="6" t="s">
        <v>14</v>
      </c>
      <c r="E50" s="7" t="s">
        <v>15</v>
      </c>
      <c r="F50" s="8">
        <v>18</v>
      </c>
      <c r="G50" s="8">
        <v>20</v>
      </c>
      <c r="H50" s="8">
        <f t="shared" si="2"/>
        <v>-2</v>
      </c>
      <c r="I50" s="8">
        <f t="shared" si="3"/>
        <v>111</v>
      </c>
      <c r="J50" s="9" t="s">
        <v>16</v>
      </c>
    </row>
    <row r="51" spans="1:10" ht="26.1" customHeight="1" x14ac:dyDescent="0.25">
      <c r="A51" s="2" t="s">
        <v>83</v>
      </c>
      <c r="B51" s="2" t="s">
        <v>84</v>
      </c>
      <c r="C51" s="2" t="s">
        <v>85</v>
      </c>
      <c r="D51" s="2" t="s">
        <v>14</v>
      </c>
      <c r="E51" s="3" t="s">
        <v>15</v>
      </c>
      <c r="F51" s="4">
        <v>35</v>
      </c>
      <c r="G51" s="4">
        <v>37</v>
      </c>
      <c r="H51" s="4">
        <f t="shared" si="2"/>
        <v>-2</v>
      </c>
      <c r="I51" s="4">
        <f t="shared" si="3"/>
        <v>106</v>
      </c>
      <c r="J51" s="5" t="s">
        <v>16</v>
      </c>
    </row>
    <row r="52" spans="1:10" ht="26.1" customHeight="1" x14ac:dyDescent="0.25">
      <c r="A52" s="6" t="s">
        <v>34</v>
      </c>
      <c r="B52" s="6" t="s">
        <v>35</v>
      </c>
      <c r="C52" s="6" t="s">
        <v>86</v>
      </c>
      <c r="D52" s="6" t="s">
        <v>14</v>
      </c>
      <c r="E52" s="7" t="s">
        <v>15</v>
      </c>
      <c r="F52" s="8">
        <v>55</v>
      </c>
      <c r="G52" s="8">
        <v>58</v>
      </c>
      <c r="H52" s="8">
        <f t="shared" si="2"/>
        <v>-3</v>
      </c>
      <c r="I52" s="8">
        <f t="shared" si="3"/>
        <v>105</v>
      </c>
      <c r="J52" s="9" t="s">
        <v>16</v>
      </c>
    </row>
    <row r="53" spans="1:10" ht="26.1" customHeight="1" x14ac:dyDescent="0.25">
      <c r="A53" s="2" t="s">
        <v>30</v>
      </c>
      <c r="B53" s="2" t="s">
        <v>30</v>
      </c>
      <c r="C53" s="2" t="s">
        <v>87</v>
      </c>
      <c r="D53" s="2" t="s">
        <v>14</v>
      </c>
      <c r="E53" s="3" t="s">
        <v>15</v>
      </c>
      <c r="F53" s="4">
        <v>50</v>
      </c>
      <c r="G53" s="4">
        <v>53</v>
      </c>
      <c r="H53" s="4">
        <f t="shared" si="2"/>
        <v>-3</v>
      </c>
      <c r="I53" s="4">
        <f t="shared" si="3"/>
        <v>106</v>
      </c>
      <c r="J53" s="5" t="s">
        <v>16</v>
      </c>
    </row>
    <row r="54" spans="1:10" ht="26.1" customHeight="1" x14ac:dyDescent="0.25">
      <c r="A54" s="6" t="s">
        <v>30</v>
      </c>
      <c r="B54" s="6" t="s">
        <v>30</v>
      </c>
      <c r="C54" s="6" t="s">
        <v>88</v>
      </c>
      <c r="D54" s="6" t="s">
        <v>14</v>
      </c>
      <c r="E54" s="7" t="s">
        <v>15</v>
      </c>
      <c r="F54" s="8">
        <v>45</v>
      </c>
      <c r="G54" s="8">
        <v>48</v>
      </c>
      <c r="H54" s="8">
        <f t="shared" si="2"/>
        <v>-3</v>
      </c>
      <c r="I54" s="8">
        <f t="shared" si="3"/>
        <v>107</v>
      </c>
      <c r="J54" s="9" t="s">
        <v>16</v>
      </c>
    </row>
    <row r="55" spans="1:10" ht="26.1" customHeight="1" x14ac:dyDescent="0.25">
      <c r="A55" s="2" t="s">
        <v>43</v>
      </c>
      <c r="B55" s="2" t="s">
        <v>89</v>
      </c>
      <c r="C55" s="2" t="s">
        <v>90</v>
      </c>
      <c r="D55" s="2" t="s">
        <v>43</v>
      </c>
      <c r="E55" s="3" t="s">
        <v>46</v>
      </c>
      <c r="F55" s="4">
        <v>35</v>
      </c>
      <c r="G55" s="4">
        <v>37</v>
      </c>
      <c r="H55" s="4">
        <f t="shared" si="2"/>
        <v>-2</v>
      </c>
      <c r="I55" s="4">
        <f t="shared" si="3"/>
        <v>106</v>
      </c>
      <c r="J55" s="5" t="s">
        <v>16</v>
      </c>
    </row>
    <row r="56" spans="1:10" ht="26.1" customHeight="1" x14ac:dyDescent="0.25">
      <c r="A56" s="6" t="s">
        <v>43</v>
      </c>
      <c r="B56" s="6" t="s">
        <v>91</v>
      </c>
      <c r="C56" s="6" t="s">
        <v>92</v>
      </c>
      <c r="D56" s="6" t="s">
        <v>43</v>
      </c>
      <c r="E56" s="7" t="s">
        <v>46</v>
      </c>
      <c r="F56" s="8">
        <v>22</v>
      </c>
      <c r="G56" s="8">
        <v>24</v>
      </c>
      <c r="H56" s="8">
        <f t="shared" si="2"/>
        <v>-2</v>
      </c>
      <c r="I56" s="8">
        <f t="shared" si="3"/>
        <v>109</v>
      </c>
      <c r="J56" s="9" t="s">
        <v>16</v>
      </c>
    </row>
    <row r="57" spans="1:10" ht="26.1" customHeight="1" x14ac:dyDescent="0.25">
      <c r="A57" s="2" t="s">
        <v>43</v>
      </c>
      <c r="B57" s="2" t="s">
        <v>93</v>
      </c>
      <c r="C57" s="2" t="s">
        <v>94</v>
      </c>
      <c r="D57" s="2" t="s">
        <v>43</v>
      </c>
      <c r="E57" s="3" t="s">
        <v>46</v>
      </c>
      <c r="F57" s="4">
        <v>18</v>
      </c>
      <c r="G57" s="4">
        <v>20</v>
      </c>
      <c r="H57" s="4">
        <f t="shared" si="2"/>
        <v>-2</v>
      </c>
      <c r="I57" s="4">
        <f t="shared" si="3"/>
        <v>111</v>
      </c>
      <c r="J57" s="5" t="s">
        <v>16</v>
      </c>
    </row>
    <row r="58" spans="1:10" ht="26.1" customHeight="1" x14ac:dyDescent="0.25">
      <c r="A58" s="6" t="s">
        <v>49</v>
      </c>
      <c r="B58" s="6" t="s">
        <v>78</v>
      </c>
      <c r="C58" s="6" t="s">
        <v>95</v>
      </c>
      <c r="D58" s="6" t="s">
        <v>51</v>
      </c>
      <c r="E58" s="7" t="s">
        <v>46</v>
      </c>
      <c r="F58" s="8">
        <v>55</v>
      </c>
      <c r="G58" s="8">
        <v>58</v>
      </c>
      <c r="H58" s="8">
        <f t="shared" si="2"/>
        <v>-3</v>
      </c>
      <c r="I58" s="8">
        <f t="shared" si="3"/>
        <v>105</v>
      </c>
      <c r="J58" s="9" t="s">
        <v>16</v>
      </c>
    </row>
    <row r="59" spans="1:10" ht="26.1" customHeight="1" x14ac:dyDescent="0.25">
      <c r="A59" s="2" t="s">
        <v>49</v>
      </c>
      <c r="B59" s="2" t="s">
        <v>84</v>
      </c>
      <c r="C59" s="2" t="s">
        <v>96</v>
      </c>
      <c r="D59" s="2" t="s">
        <v>51</v>
      </c>
      <c r="E59" s="3" t="s">
        <v>46</v>
      </c>
      <c r="F59" s="4">
        <v>28</v>
      </c>
      <c r="G59" s="4">
        <v>30</v>
      </c>
      <c r="H59" s="4">
        <f t="shared" si="2"/>
        <v>-2</v>
      </c>
      <c r="I59" s="4">
        <f t="shared" si="3"/>
        <v>107</v>
      </c>
      <c r="J59" s="5" t="s">
        <v>16</v>
      </c>
    </row>
    <row r="60" spans="1:10" ht="26.1" customHeight="1" x14ac:dyDescent="0.25">
      <c r="A60" s="6" t="s">
        <v>55</v>
      </c>
      <c r="B60" s="6" t="s">
        <v>78</v>
      </c>
      <c r="C60" s="6" t="s">
        <v>97</v>
      </c>
      <c r="D60" s="6" t="s">
        <v>57</v>
      </c>
      <c r="E60" s="7" t="s">
        <v>46</v>
      </c>
      <c r="F60" s="8">
        <v>55</v>
      </c>
      <c r="G60" s="8">
        <v>58</v>
      </c>
      <c r="H60" s="8">
        <f t="shared" si="2"/>
        <v>-3</v>
      </c>
      <c r="I60" s="8">
        <f t="shared" si="3"/>
        <v>105</v>
      </c>
      <c r="J60" s="9" t="s">
        <v>16</v>
      </c>
    </row>
    <row r="61" spans="1:10" ht="26.1" customHeight="1" x14ac:dyDescent="0.25">
      <c r="A61" s="2" t="s">
        <v>55</v>
      </c>
      <c r="B61" s="2" t="s">
        <v>84</v>
      </c>
      <c r="C61" s="2" t="s">
        <v>98</v>
      </c>
      <c r="D61" s="2" t="s">
        <v>57</v>
      </c>
      <c r="E61" s="3" t="s">
        <v>46</v>
      </c>
      <c r="F61" s="4">
        <v>28</v>
      </c>
      <c r="G61" s="4">
        <v>30</v>
      </c>
      <c r="H61" s="4">
        <f t="shared" si="2"/>
        <v>-2</v>
      </c>
      <c r="I61" s="4">
        <f t="shared" si="3"/>
        <v>107</v>
      </c>
      <c r="J61" s="5" t="s">
        <v>16</v>
      </c>
    </row>
    <row r="62" spans="1:10" ht="26.1" customHeight="1" x14ac:dyDescent="0.25">
      <c r="A62" s="6" t="s">
        <v>55</v>
      </c>
      <c r="B62" s="6" t="s">
        <v>35</v>
      </c>
      <c r="C62" s="6" t="s">
        <v>99</v>
      </c>
      <c r="D62" s="6" t="s">
        <v>57</v>
      </c>
      <c r="E62" s="7" t="s">
        <v>46</v>
      </c>
      <c r="F62" s="8">
        <v>50</v>
      </c>
      <c r="G62" s="8">
        <v>53</v>
      </c>
      <c r="H62" s="8">
        <f t="shared" si="2"/>
        <v>-3</v>
      </c>
      <c r="I62" s="8">
        <f t="shared" si="3"/>
        <v>106</v>
      </c>
      <c r="J62" s="9" t="s">
        <v>16</v>
      </c>
    </row>
    <row r="63" spans="1:10" ht="26.1" customHeight="1" x14ac:dyDescent="0.25">
      <c r="A63" s="2" t="s">
        <v>55</v>
      </c>
      <c r="B63" s="2" t="s">
        <v>30</v>
      </c>
      <c r="C63" s="2" t="s">
        <v>100</v>
      </c>
      <c r="D63" s="2" t="s">
        <v>57</v>
      </c>
      <c r="E63" s="3" t="s">
        <v>46</v>
      </c>
      <c r="F63" s="4">
        <v>45</v>
      </c>
      <c r="G63" s="4">
        <v>48</v>
      </c>
      <c r="H63" s="4">
        <f t="shared" si="2"/>
        <v>-3</v>
      </c>
      <c r="I63" s="4">
        <f t="shared" si="3"/>
        <v>107</v>
      </c>
      <c r="J63" s="5" t="s">
        <v>16</v>
      </c>
    </row>
    <row r="64" spans="1:10" ht="26.1" customHeight="1" x14ac:dyDescent="0.25">
      <c r="A64" s="6" t="s">
        <v>66</v>
      </c>
      <c r="B64" s="6" t="s">
        <v>78</v>
      </c>
      <c r="C64" s="6" t="s">
        <v>101</v>
      </c>
      <c r="D64" s="6" t="s">
        <v>66</v>
      </c>
      <c r="E64" s="7" t="s">
        <v>68</v>
      </c>
      <c r="F64" s="8">
        <v>35</v>
      </c>
      <c r="G64" s="8">
        <v>37</v>
      </c>
      <c r="H64" s="8">
        <f t="shared" si="2"/>
        <v>-2</v>
      </c>
      <c r="I64" s="8">
        <f t="shared" si="3"/>
        <v>106</v>
      </c>
      <c r="J64" s="9" t="s">
        <v>16</v>
      </c>
    </row>
    <row r="65" spans="1:10" ht="26.1" customHeight="1" x14ac:dyDescent="0.25">
      <c r="A65" s="2" t="s">
        <v>66</v>
      </c>
      <c r="B65" s="2" t="s">
        <v>78</v>
      </c>
      <c r="C65" s="2" t="s">
        <v>102</v>
      </c>
      <c r="D65" s="2" t="s">
        <v>66</v>
      </c>
      <c r="E65" s="3" t="s">
        <v>68</v>
      </c>
      <c r="F65" s="4">
        <v>22</v>
      </c>
      <c r="G65" s="4">
        <v>24</v>
      </c>
      <c r="H65" s="4">
        <f t="shared" si="2"/>
        <v>-2</v>
      </c>
      <c r="I65" s="4">
        <f t="shared" si="3"/>
        <v>109</v>
      </c>
      <c r="J65" s="5" t="s">
        <v>16</v>
      </c>
    </row>
    <row r="66" spans="1:10" ht="26.1" customHeight="1" x14ac:dyDescent="0.25">
      <c r="A66" s="6" t="s">
        <v>66</v>
      </c>
      <c r="B66" s="6" t="s">
        <v>78</v>
      </c>
      <c r="C66" s="6" t="s">
        <v>103</v>
      </c>
      <c r="D66" s="6" t="s">
        <v>66</v>
      </c>
      <c r="E66" s="7" t="s">
        <v>68</v>
      </c>
      <c r="F66" s="8">
        <v>30</v>
      </c>
      <c r="G66" s="8">
        <v>32</v>
      </c>
      <c r="H66" s="8">
        <f t="shared" si="2"/>
        <v>-2</v>
      </c>
      <c r="I66" s="8">
        <f t="shared" si="3"/>
        <v>107</v>
      </c>
      <c r="J66" s="9" t="s">
        <v>16</v>
      </c>
    </row>
    <row r="67" spans="1:10" ht="26.1" customHeight="1" x14ac:dyDescent="0.25">
      <c r="A67" s="2" t="s">
        <v>66</v>
      </c>
      <c r="B67" s="2" t="s">
        <v>78</v>
      </c>
      <c r="C67" s="2" t="s">
        <v>104</v>
      </c>
      <c r="D67" s="2" t="s">
        <v>66</v>
      </c>
      <c r="E67" s="3" t="s">
        <v>68</v>
      </c>
      <c r="F67" s="4">
        <v>50</v>
      </c>
      <c r="G67" s="4">
        <v>53</v>
      </c>
      <c r="H67" s="4">
        <f t="shared" si="2"/>
        <v>-3</v>
      </c>
      <c r="I67" s="4">
        <f t="shared" si="3"/>
        <v>106</v>
      </c>
      <c r="J67" s="5" t="s">
        <v>16</v>
      </c>
    </row>
    <row r="68" spans="1:10" ht="26.1" customHeight="1" x14ac:dyDescent="0.25">
      <c r="A68" s="6" t="s">
        <v>66</v>
      </c>
      <c r="B68" s="6" t="s">
        <v>35</v>
      </c>
      <c r="C68" s="6" t="s">
        <v>105</v>
      </c>
      <c r="D68" s="6" t="s">
        <v>66</v>
      </c>
      <c r="E68" s="7" t="s">
        <v>68</v>
      </c>
      <c r="F68" s="8">
        <v>35</v>
      </c>
      <c r="G68" s="8">
        <v>37</v>
      </c>
      <c r="H68" s="8">
        <f t="shared" si="2"/>
        <v>-2</v>
      </c>
      <c r="I68" s="8">
        <f t="shared" si="3"/>
        <v>106</v>
      </c>
      <c r="J68" s="9" t="s">
        <v>16</v>
      </c>
    </row>
    <row r="69" spans="1:10" ht="26.1" customHeight="1" x14ac:dyDescent="0.25">
      <c r="A69" s="2" t="s">
        <v>66</v>
      </c>
      <c r="B69" s="2" t="s">
        <v>35</v>
      </c>
      <c r="C69" s="2" t="s">
        <v>106</v>
      </c>
      <c r="D69" s="2" t="s">
        <v>66</v>
      </c>
      <c r="E69" s="3" t="s">
        <v>68</v>
      </c>
      <c r="F69" s="4">
        <v>45</v>
      </c>
      <c r="G69" s="4">
        <v>48</v>
      </c>
      <c r="H69" s="4">
        <f t="shared" si="2"/>
        <v>-3</v>
      </c>
      <c r="I69" s="4">
        <f t="shared" si="3"/>
        <v>107</v>
      </c>
      <c r="J69" s="5" t="s">
        <v>16</v>
      </c>
    </row>
    <row r="70" spans="1:10" ht="26.1" customHeight="1" x14ac:dyDescent="0.25">
      <c r="A70" s="6" t="s">
        <v>66</v>
      </c>
      <c r="B70" s="6" t="s">
        <v>35</v>
      </c>
      <c r="C70" s="6" t="s">
        <v>107</v>
      </c>
      <c r="D70" s="6" t="s">
        <v>66</v>
      </c>
      <c r="E70" s="7" t="s">
        <v>68</v>
      </c>
      <c r="F70" s="8">
        <v>30</v>
      </c>
      <c r="G70" s="8">
        <v>32</v>
      </c>
      <c r="H70" s="8">
        <f t="shared" si="2"/>
        <v>-2</v>
      </c>
      <c r="I70" s="8">
        <f t="shared" si="3"/>
        <v>107</v>
      </c>
      <c r="J70" s="9" t="s">
        <v>16</v>
      </c>
    </row>
    <row r="71" spans="1:10" ht="26.1" customHeight="1" x14ac:dyDescent="0.25">
      <c r="A71" s="2" t="s">
        <v>72</v>
      </c>
      <c r="B71" s="2" t="s">
        <v>78</v>
      </c>
      <c r="C71" s="2" t="s">
        <v>108</v>
      </c>
      <c r="D71" s="2" t="s">
        <v>74</v>
      </c>
      <c r="E71" s="3" t="s">
        <v>68</v>
      </c>
      <c r="F71" s="4">
        <v>45</v>
      </c>
      <c r="G71" s="4">
        <v>48</v>
      </c>
      <c r="H71" s="4">
        <f t="shared" si="2"/>
        <v>-3</v>
      </c>
      <c r="I71" s="4">
        <f t="shared" si="3"/>
        <v>107</v>
      </c>
      <c r="J71" s="5" t="s">
        <v>16</v>
      </c>
    </row>
    <row r="72" spans="1:10" ht="26.1" customHeight="1" x14ac:dyDescent="0.25">
      <c r="A72" s="6" t="s">
        <v>72</v>
      </c>
      <c r="B72" s="6" t="s">
        <v>35</v>
      </c>
      <c r="C72" s="6" t="s">
        <v>109</v>
      </c>
      <c r="D72" s="6" t="s">
        <v>74</v>
      </c>
      <c r="E72" s="7" t="s">
        <v>68</v>
      </c>
      <c r="F72" s="8">
        <v>40</v>
      </c>
      <c r="G72" s="8">
        <v>43</v>
      </c>
      <c r="H72" s="8">
        <f t="shared" si="2"/>
        <v>-3</v>
      </c>
      <c r="I72" s="8">
        <f t="shared" si="3"/>
        <v>108</v>
      </c>
      <c r="J72" s="9" t="s">
        <v>16</v>
      </c>
    </row>
    <row r="73" spans="1:10" ht="26.1" customHeight="1" x14ac:dyDescent="0.25">
      <c r="A73" s="2" t="s">
        <v>72</v>
      </c>
      <c r="B73" s="2" t="s">
        <v>78</v>
      </c>
      <c r="C73" s="2" t="s">
        <v>110</v>
      </c>
      <c r="D73" s="2" t="s">
        <v>74</v>
      </c>
      <c r="E73" s="3" t="s">
        <v>68</v>
      </c>
      <c r="F73" s="4">
        <v>28</v>
      </c>
      <c r="G73" s="4">
        <v>30</v>
      </c>
      <c r="H73" s="4">
        <f t="shared" si="2"/>
        <v>-2</v>
      </c>
      <c r="I73" s="4">
        <f t="shared" si="3"/>
        <v>107</v>
      </c>
      <c r="J73" s="5" t="s">
        <v>16</v>
      </c>
    </row>
    <row r="74" spans="1:10" ht="20.100000000000001" customHeight="1" x14ac:dyDescent="0.25">
      <c r="A74" s="15" t="s">
        <v>111</v>
      </c>
      <c r="B74" s="13"/>
      <c r="C74" s="13"/>
      <c r="D74" s="13"/>
      <c r="E74" s="13"/>
      <c r="F74" s="10">
        <f>SUM(F47:F73)</f>
        <v>1022</v>
      </c>
      <c r="G74" s="10">
        <f>SUM(G47:G73)</f>
        <v>1088</v>
      </c>
      <c r="H74" s="10">
        <f>SUM(H47:H73)</f>
        <v>-66</v>
      </c>
      <c r="I74" s="10">
        <f t="shared" si="3"/>
        <v>106</v>
      </c>
      <c r="J74" s="11"/>
    </row>
    <row r="75" spans="1:10" ht="8.1" customHeight="1" x14ac:dyDescent="0.25"/>
    <row r="76" spans="1:10" ht="24" customHeight="1" x14ac:dyDescent="0.25">
      <c r="A76" s="12" t="s">
        <v>112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ht="30" customHeight="1" x14ac:dyDescent="0.25">
      <c r="A77" s="1" t="s">
        <v>1</v>
      </c>
      <c r="B77" s="1" t="s">
        <v>2</v>
      </c>
      <c r="C77" s="1" t="s">
        <v>3</v>
      </c>
      <c r="D77" s="1" t="s">
        <v>4</v>
      </c>
      <c r="E77" s="1" t="s">
        <v>5</v>
      </c>
      <c r="F77" s="1" t="s">
        <v>6</v>
      </c>
      <c r="G77" s="1" t="s">
        <v>7</v>
      </c>
      <c r="H77" s="1" t="s">
        <v>8</v>
      </c>
      <c r="I77" s="1" t="s">
        <v>9</v>
      </c>
      <c r="J77" s="1" t="s">
        <v>10</v>
      </c>
    </row>
    <row r="78" spans="1:10" ht="26.1" customHeight="1" x14ac:dyDescent="0.25">
      <c r="A78" s="2" t="s">
        <v>113</v>
      </c>
      <c r="B78" s="2" t="s">
        <v>35</v>
      </c>
      <c r="C78" s="2" t="s">
        <v>114</v>
      </c>
      <c r="D78" s="2" t="s">
        <v>14</v>
      </c>
      <c r="E78" s="3" t="s">
        <v>15</v>
      </c>
      <c r="F78" s="4">
        <v>65</v>
      </c>
      <c r="G78" s="4">
        <v>68</v>
      </c>
      <c r="H78" s="4">
        <f t="shared" ref="H78:H98" si="4">F78-G78</f>
        <v>-3</v>
      </c>
      <c r="I78" s="4">
        <f t="shared" ref="I78:I99" si="5">IF(F78=0,0,ROUND((G78/F78)*100,0))</f>
        <v>105</v>
      </c>
      <c r="J78" s="5" t="s">
        <v>16</v>
      </c>
    </row>
    <row r="79" spans="1:10" ht="26.1" customHeight="1" x14ac:dyDescent="0.25">
      <c r="A79" s="6" t="s">
        <v>113</v>
      </c>
      <c r="B79" s="6" t="s">
        <v>35</v>
      </c>
      <c r="C79" s="6" t="s">
        <v>115</v>
      </c>
      <c r="D79" s="6" t="s">
        <v>14</v>
      </c>
      <c r="E79" s="7" t="s">
        <v>15</v>
      </c>
      <c r="F79" s="8">
        <v>55</v>
      </c>
      <c r="G79" s="8">
        <v>58</v>
      </c>
      <c r="H79" s="8">
        <f t="shared" si="4"/>
        <v>-3</v>
      </c>
      <c r="I79" s="8">
        <f t="shared" si="5"/>
        <v>105</v>
      </c>
      <c r="J79" s="9" t="s">
        <v>16</v>
      </c>
    </row>
    <row r="80" spans="1:10" ht="26.1" customHeight="1" x14ac:dyDescent="0.25">
      <c r="A80" s="2" t="s">
        <v>116</v>
      </c>
      <c r="B80" s="2" t="s">
        <v>116</v>
      </c>
      <c r="C80" s="2" t="s">
        <v>117</v>
      </c>
      <c r="D80" s="2" t="s">
        <v>116</v>
      </c>
      <c r="E80" s="3" t="s">
        <v>15</v>
      </c>
      <c r="F80" s="4">
        <v>28</v>
      </c>
      <c r="G80" s="4">
        <v>0</v>
      </c>
      <c r="H80" s="4">
        <f t="shared" si="4"/>
        <v>28</v>
      </c>
      <c r="I80" s="4">
        <f t="shared" si="5"/>
        <v>0</v>
      </c>
      <c r="J80" s="5" t="s">
        <v>118</v>
      </c>
    </row>
    <row r="81" spans="1:10" ht="26.1" customHeight="1" x14ac:dyDescent="0.25">
      <c r="A81" s="6" t="s">
        <v>116</v>
      </c>
      <c r="B81" s="6" t="s">
        <v>116</v>
      </c>
      <c r="C81" s="6" t="s">
        <v>119</v>
      </c>
      <c r="D81" s="6" t="s">
        <v>116</v>
      </c>
      <c r="E81" s="7" t="s">
        <v>15</v>
      </c>
      <c r="F81" s="8">
        <v>28</v>
      </c>
      <c r="G81" s="8">
        <v>0</v>
      </c>
      <c r="H81" s="8">
        <f t="shared" si="4"/>
        <v>28</v>
      </c>
      <c r="I81" s="8">
        <f t="shared" si="5"/>
        <v>0</v>
      </c>
      <c r="J81" s="9" t="s">
        <v>118</v>
      </c>
    </row>
    <row r="82" spans="1:10" ht="26.1" customHeight="1" x14ac:dyDescent="0.25">
      <c r="A82" s="2" t="s">
        <v>43</v>
      </c>
      <c r="B82" s="2" t="s">
        <v>120</v>
      </c>
      <c r="C82" s="2" t="s">
        <v>121</v>
      </c>
      <c r="D82" s="2" t="s">
        <v>43</v>
      </c>
      <c r="E82" s="3" t="s">
        <v>46</v>
      </c>
      <c r="F82" s="4">
        <v>32</v>
      </c>
      <c r="G82" s="4">
        <v>35</v>
      </c>
      <c r="H82" s="4">
        <f t="shared" si="4"/>
        <v>-3</v>
      </c>
      <c r="I82" s="4">
        <f t="shared" si="5"/>
        <v>109</v>
      </c>
      <c r="J82" s="5" t="s">
        <v>16</v>
      </c>
    </row>
    <row r="83" spans="1:10" ht="26.1" customHeight="1" x14ac:dyDescent="0.25">
      <c r="A83" s="6" t="s">
        <v>49</v>
      </c>
      <c r="B83" s="6" t="s">
        <v>35</v>
      </c>
      <c r="C83" s="6" t="s">
        <v>122</v>
      </c>
      <c r="D83" s="6" t="s">
        <v>51</v>
      </c>
      <c r="E83" s="7" t="s">
        <v>46</v>
      </c>
      <c r="F83" s="8">
        <v>55</v>
      </c>
      <c r="G83" s="8">
        <v>58</v>
      </c>
      <c r="H83" s="8">
        <f t="shared" si="4"/>
        <v>-3</v>
      </c>
      <c r="I83" s="8">
        <f t="shared" si="5"/>
        <v>105</v>
      </c>
      <c r="J83" s="9" t="s">
        <v>16</v>
      </c>
    </row>
    <row r="84" spans="1:10" ht="26.1" customHeight="1" x14ac:dyDescent="0.25">
      <c r="A84" s="2" t="s">
        <v>55</v>
      </c>
      <c r="B84" s="2" t="s">
        <v>35</v>
      </c>
      <c r="C84" s="2" t="s">
        <v>123</v>
      </c>
      <c r="D84" s="2" t="s">
        <v>57</v>
      </c>
      <c r="E84" s="3" t="s">
        <v>46</v>
      </c>
      <c r="F84" s="4">
        <v>58</v>
      </c>
      <c r="G84" s="4">
        <v>62</v>
      </c>
      <c r="H84" s="4">
        <f t="shared" si="4"/>
        <v>-4</v>
      </c>
      <c r="I84" s="4">
        <f t="shared" si="5"/>
        <v>107</v>
      </c>
      <c r="J84" s="5" t="s">
        <v>16</v>
      </c>
    </row>
    <row r="85" spans="1:10" ht="26.1" customHeight="1" x14ac:dyDescent="0.25">
      <c r="A85" s="6" t="s">
        <v>116</v>
      </c>
      <c r="B85" s="6" t="s">
        <v>116</v>
      </c>
      <c r="C85" s="6" t="s">
        <v>124</v>
      </c>
      <c r="D85" s="6" t="s">
        <v>116</v>
      </c>
      <c r="E85" s="7" t="s">
        <v>46</v>
      </c>
      <c r="F85" s="8">
        <v>40</v>
      </c>
      <c r="G85" s="8">
        <v>0</v>
      </c>
      <c r="H85" s="8">
        <f t="shared" si="4"/>
        <v>40</v>
      </c>
      <c r="I85" s="8">
        <f t="shared" si="5"/>
        <v>0</v>
      </c>
      <c r="J85" s="9" t="s">
        <v>118</v>
      </c>
    </row>
    <row r="86" spans="1:10" ht="26.1" customHeight="1" x14ac:dyDescent="0.25">
      <c r="A86" s="2" t="s">
        <v>116</v>
      </c>
      <c r="B86" s="2" t="s">
        <v>116</v>
      </c>
      <c r="C86" s="2" t="s">
        <v>125</v>
      </c>
      <c r="D86" s="2" t="s">
        <v>116</v>
      </c>
      <c r="E86" s="3" t="s">
        <v>46</v>
      </c>
      <c r="F86" s="4">
        <v>28</v>
      </c>
      <c r="G86" s="4">
        <v>0</v>
      </c>
      <c r="H86" s="4">
        <f t="shared" si="4"/>
        <v>28</v>
      </c>
      <c r="I86" s="4">
        <f t="shared" si="5"/>
        <v>0</v>
      </c>
      <c r="J86" s="5" t="s">
        <v>118</v>
      </c>
    </row>
    <row r="87" spans="1:10" ht="26.1" customHeight="1" x14ac:dyDescent="0.25">
      <c r="A87" s="6" t="s">
        <v>116</v>
      </c>
      <c r="B87" s="6" t="s">
        <v>116</v>
      </c>
      <c r="C87" s="6" t="s">
        <v>126</v>
      </c>
      <c r="D87" s="6" t="s">
        <v>116</v>
      </c>
      <c r="E87" s="7" t="s">
        <v>46</v>
      </c>
      <c r="F87" s="8">
        <v>28</v>
      </c>
      <c r="G87" s="8">
        <v>0</v>
      </c>
      <c r="H87" s="8">
        <f t="shared" si="4"/>
        <v>28</v>
      </c>
      <c r="I87" s="8">
        <f t="shared" si="5"/>
        <v>0</v>
      </c>
      <c r="J87" s="9" t="s">
        <v>118</v>
      </c>
    </row>
    <row r="88" spans="1:10" ht="26.1" customHeight="1" x14ac:dyDescent="0.25">
      <c r="A88" s="2" t="s">
        <v>66</v>
      </c>
      <c r="B88" s="2" t="s">
        <v>35</v>
      </c>
      <c r="C88" s="2" t="s">
        <v>127</v>
      </c>
      <c r="D88" s="2" t="s">
        <v>66</v>
      </c>
      <c r="E88" s="3" t="s">
        <v>68</v>
      </c>
      <c r="F88" s="4">
        <v>62</v>
      </c>
      <c r="G88" s="4">
        <v>65</v>
      </c>
      <c r="H88" s="4">
        <f t="shared" si="4"/>
        <v>-3</v>
      </c>
      <c r="I88" s="4">
        <f t="shared" si="5"/>
        <v>105</v>
      </c>
      <c r="J88" s="5" t="s">
        <v>16</v>
      </c>
    </row>
    <row r="89" spans="1:10" ht="26.1" customHeight="1" x14ac:dyDescent="0.25">
      <c r="A89" s="6" t="s">
        <v>66</v>
      </c>
      <c r="B89" s="6" t="s">
        <v>35</v>
      </c>
      <c r="C89" s="6" t="s">
        <v>128</v>
      </c>
      <c r="D89" s="6" t="s">
        <v>66</v>
      </c>
      <c r="E89" s="7" t="s">
        <v>68</v>
      </c>
      <c r="F89" s="8">
        <v>50</v>
      </c>
      <c r="G89" s="8">
        <v>53</v>
      </c>
      <c r="H89" s="8">
        <f t="shared" si="4"/>
        <v>-3</v>
      </c>
      <c r="I89" s="8">
        <f t="shared" si="5"/>
        <v>106</v>
      </c>
      <c r="J89" s="9" t="s">
        <v>16</v>
      </c>
    </row>
    <row r="90" spans="1:10" ht="26.1" customHeight="1" x14ac:dyDescent="0.25">
      <c r="A90" s="2" t="s">
        <v>66</v>
      </c>
      <c r="B90" s="2" t="s">
        <v>35</v>
      </c>
      <c r="C90" s="2" t="s">
        <v>129</v>
      </c>
      <c r="D90" s="2" t="s">
        <v>66</v>
      </c>
      <c r="E90" s="3" t="s">
        <v>68</v>
      </c>
      <c r="F90" s="4">
        <v>40</v>
      </c>
      <c r="G90" s="4">
        <v>43</v>
      </c>
      <c r="H90" s="4">
        <f t="shared" si="4"/>
        <v>-3</v>
      </c>
      <c r="I90" s="4">
        <f t="shared" si="5"/>
        <v>108</v>
      </c>
      <c r="J90" s="5" t="s">
        <v>16</v>
      </c>
    </row>
    <row r="91" spans="1:10" ht="26.1" customHeight="1" x14ac:dyDescent="0.25">
      <c r="A91" s="6" t="s">
        <v>72</v>
      </c>
      <c r="B91" s="6" t="s">
        <v>35</v>
      </c>
      <c r="C91" s="6" t="s">
        <v>130</v>
      </c>
      <c r="D91" s="6" t="s">
        <v>74</v>
      </c>
      <c r="E91" s="7" t="s">
        <v>68</v>
      </c>
      <c r="F91" s="8">
        <v>40</v>
      </c>
      <c r="G91" s="8">
        <v>43</v>
      </c>
      <c r="H91" s="8">
        <f t="shared" si="4"/>
        <v>-3</v>
      </c>
      <c r="I91" s="8">
        <f t="shared" si="5"/>
        <v>108</v>
      </c>
      <c r="J91" s="9" t="s">
        <v>16</v>
      </c>
    </row>
    <row r="92" spans="1:10" ht="26.1" customHeight="1" x14ac:dyDescent="0.25">
      <c r="A92" s="2" t="s">
        <v>72</v>
      </c>
      <c r="B92" s="2" t="s">
        <v>35</v>
      </c>
      <c r="C92" s="2" t="s">
        <v>131</v>
      </c>
      <c r="D92" s="2" t="s">
        <v>74</v>
      </c>
      <c r="E92" s="3" t="s">
        <v>68</v>
      </c>
      <c r="F92" s="4">
        <v>32</v>
      </c>
      <c r="G92" s="4">
        <v>35</v>
      </c>
      <c r="H92" s="4">
        <f t="shared" si="4"/>
        <v>-3</v>
      </c>
      <c r="I92" s="4">
        <f t="shared" si="5"/>
        <v>109</v>
      </c>
      <c r="J92" s="5" t="s">
        <v>16</v>
      </c>
    </row>
    <row r="93" spans="1:10" ht="26.1" customHeight="1" x14ac:dyDescent="0.25">
      <c r="A93" s="6" t="s">
        <v>132</v>
      </c>
      <c r="B93" s="6" t="s">
        <v>72</v>
      </c>
      <c r="C93" s="6" t="s">
        <v>133</v>
      </c>
      <c r="D93" s="6" t="s">
        <v>74</v>
      </c>
      <c r="E93" s="7" t="s">
        <v>68</v>
      </c>
      <c r="F93" s="8">
        <v>75</v>
      </c>
      <c r="G93" s="8">
        <v>78</v>
      </c>
      <c r="H93" s="8">
        <f t="shared" si="4"/>
        <v>-3</v>
      </c>
      <c r="I93" s="8">
        <f t="shared" si="5"/>
        <v>104</v>
      </c>
      <c r="J93" s="9" t="s">
        <v>16</v>
      </c>
    </row>
    <row r="94" spans="1:10" ht="26.1" customHeight="1" x14ac:dyDescent="0.25">
      <c r="A94" s="2" t="s">
        <v>132</v>
      </c>
      <c r="B94" s="2" t="s">
        <v>72</v>
      </c>
      <c r="C94" s="2" t="s">
        <v>134</v>
      </c>
      <c r="D94" s="2" t="s">
        <v>74</v>
      </c>
      <c r="E94" s="3" t="s">
        <v>68</v>
      </c>
      <c r="F94" s="4">
        <v>40</v>
      </c>
      <c r="G94" s="4">
        <v>43</v>
      </c>
      <c r="H94" s="4">
        <f t="shared" si="4"/>
        <v>-3</v>
      </c>
      <c r="I94" s="4">
        <f t="shared" si="5"/>
        <v>108</v>
      </c>
      <c r="J94" s="5" t="s">
        <v>16</v>
      </c>
    </row>
    <row r="95" spans="1:10" ht="26.1" customHeight="1" x14ac:dyDescent="0.25">
      <c r="A95" s="6" t="s">
        <v>132</v>
      </c>
      <c r="B95" s="6" t="s">
        <v>72</v>
      </c>
      <c r="C95" s="6" t="s">
        <v>135</v>
      </c>
      <c r="D95" s="6" t="s">
        <v>74</v>
      </c>
      <c r="E95" s="7" t="s">
        <v>68</v>
      </c>
      <c r="F95" s="8">
        <v>75</v>
      </c>
      <c r="G95" s="8">
        <v>78</v>
      </c>
      <c r="H95" s="8">
        <f t="shared" si="4"/>
        <v>-3</v>
      </c>
      <c r="I95" s="8">
        <f t="shared" si="5"/>
        <v>104</v>
      </c>
      <c r="J95" s="9" t="s">
        <v>16</v>
      </c>
    </row>
    <row r="96" spans="1:10" ht="26.1" customHeight="1" x14ac:dyDescent="0.25">
      <c r="A96" s="2" t="s">
        <v>132</v>
      </c>
      <c r="B96" s="2" t="s">
        <v>72</v>
      </c>
      <c r="C96" s="2" t="s">
        <v>136</v>
      </c>
      <c r="D96" s="2" t="s">
        <v>74</v>
      </c>
      <c r="E96" s="3" t="s">
        <v>68</v>
      </c>
      <c r="F96" s="4">
        <v>40</v>
      </c>
      <c r="G96" s="4">
        <v>43</v>
      </c>
      <c r="H96" s="4">
        <f t="shared" si="4"/>
        <v>-3</v>
      </c>
      <c r="I96" s="4">
        <f t="shared" si="5"/>
        <v>108</v>
      </c>
      <c r="J96" s="5" t="s">
        <v>16</v>
      </c>
    </row>
    <row r="97" spans="1:10" ht="26.1" customHeight="1" x14ac:dyDescent="0.25">
      <c r="A97" s="6" t="s">
        <v>132</v>
      </c>
      <c r="B97" s="6" t="s">
        <v>72</v>
      </c>
      <c r="C97" s="6" t="s">
        <v>137</v>
      </c>
      <c r="D97" s="6" t="s">
        <v>74</v>
      </c>
      <c r="E97" s="7" t="s">
        <v>68</v>
      </c>
      <c r="F97" s="8">
        <v>50</v>
      </c>
      <c r="G97" s="8">
        <v>53</v>
      </c>
      <c r="H97" s="8">
        <f t="shared" si="4"/>
        <v>-3</v>
      </c>
      <c r="I97" s="8">
        <f t="shared" si="5"/>
        <v>106</v>
      </c>
      <c r="J97" s="9" t="s">
        <v>16</v>
      </c>
    </row>
    <row r="98" spans="1:10" ht="26.1" customHeight="1" x14ac:dyDescent="0.25">
      <c r="A98" s="2" t="s">
        <v>116</v>
      </c>
      <c r="B98" s="2" t="s">
        <v>116</v>
      </c>
      <c r="C98" s="2" t="s">
        <v>138</v>
      </c>
      <c r="D98" s="2" t="s">
        <v>116</v>
      </c>
      <c r="E98" s="3" t="s">
        <v>68</v>
      </c>
      <c r="F98" s="4">
        <v>55</v>
      </c>
      <c r="G98" s="4">
        <v>0</v>
      </c>
      <c r="H98" s="4">
        <f t="shared" si="4"/>
        <v>55</v>
      </c>
      <c r="I98" s="4">
        <f t="shared" si="5"/>
        <v>0</v>
      </c>
      <c r="J98" s="5" t="s">
        <v>118</v>
      </c>
    </row>
    <row r="99" spans="1:10" ht="20.100000000000001" customHeight="1" x14ac:dyDescent="0.25">
      <c r="A99" s="15" t="s">
        <v>139</v>
      </c>
      <c r="B99" s="13"/>
      <c r="C99" s="13"/>
      <c r="D99" s="13"/>
      <c r="E99" s="13"/>
      <c r="F99" s="10">
        <f>SUM(F78:F98)</f>
        <v>976</v>
      </c>
      <c r="G99" s="10">
        <f>SUM(G78:G98)</f>
        <v>815</v>
      </c>
      <c r="H99" s="10">
        <f>SUM(H78:H98)</f>
        <v>161</v>
      </c>
      <c r="I99" s="10">
        <f t="shared" si="5"/>
        <v>84</v>
      </c>
      <c r="J99" s="11"/>
    </row>
    <row r="100" spans="1:10" ht="8.1" customHeight="1" x14ac:dyDescent="0.25"/>
  </sheetData>
  <mergeCells count="7">
    <mergeCell ref="A45:J45"/>
    <mergeCell ref="A1:J1"/>
    <mergeCell ref="A43:E43"/>
    <mergeCell ref="A99:E99"/>
    <mergeCell ref="A2:J2"/>
    <mergeCell ref="A74:E74"/>
    <mergeCell ref="A76:J76"/>
  </mergeCells>
  <dataValidations count="1">
    <dataValidation type="list" showErrorMessage="1" errorTitle="Statut invalide" error="Choisissez : À faire / En cours / Terminé / Bloqué" sqref="J4:J101">
      <formula1>"À faire,En cours,Terminé,Bloqué"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baseColWidth="10" defaultColWidth="9.140625" defaultRowHeight="15" x14ac:dyDescent="0.25"/>
  <cols>
    <col min="1" max="1" width="14" customWidth="1"/>
    <col min="2" max="2" width="10" customWidth="1"/>
    <col min="3" max="3" width="11" customWidth="1"/>
    <col min="4" max="5" width="16" customWidth="1"/>
    <col min="6" max="6" width="14" customWidth="1"/>
    <col min="7" max="7" width="13" customWidth="1"/>
  </cols>
  <sheetData>
    <row r="1" spans="1:7" ht="27.95" customHeight="1" x14ac:dyDescent="0.25">
      <c r="A1" s="16" t="s">
        <v>140</v>
      </c>
      <c r="B1" s="13"/>
      <c r="C1" s="13"/>
      <c r="D1" s="13"/>
      <c r="E1" s="13"/>
      <c r="F1" s="13"/>
      <c r="G1" s="13"/>
    </row>
    <row r="2" spans="1:7" ht="21.95" customHeight="1" x14ac:dyDescent="0.25">
      <c r="A2" s="1" t="s">
        <v>141</v>
      </c>
      <c r="B2" s="1" t="s">
        <v>142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</row>
    <row r="3" spans="1:7" ht="20.100000000000001" customHeight="1" x14ac:dyDescent="0.25">
      <c r="A3" s="3" t="s">
        <v>15</v>
      </c>
      <c r="B3" s="3" t="s">
        <v>148</v>
      </c>
      <c r="C3" s="4">
        <v>18</v>
      </c>
      <c r="D3" s="4">
        <v>820</v>
      </c>
      <c r="E3" s="4">
        <v>873</v>
      </c>
      <c r="F3" s="4">
        <f>D3-E3</f>
        <v>-53</v>
      </c>
      <c r="G3" s="4">
        <f>IF(D3=0,0,ROUND((E3/D3)*100,0))</f>
        <v>106</v>
      </c>
    </row>
    <row r="4" spans="1:7" ht="20.100000000000001" customHeight="1" x14ac:dyDescent="0.25">
      <c r="A4" s="7" t="s">
        <v>15</v>
      </c>
      <c r="B4" s="7" t="s">
        <v>149</v>
      </c>
      <c r="C4" s="8">
        <v>8</v>
      </c>
      <c r="D4" s="8">
        <v>326</v>
      </c>
      <c r="E4" s="8">
        <v>346</v>
      </c>
      <c r="F4" s="8">
        <f>D4-E4</f>
        <v>-20</v>
      </c>
      <c r="G4" s="8">
        <f>IF(D4=0,0,ROUND((E4/D4)*100,0))</f>
        <v>106</v>
      </c>
    </row>
    <row r="5" spans="1:7" ht="20.100000000000001" customHeight="1" x14ac:dyDescent="0.25">
      <c r="A5" s="3" t="s">
        <v>15</v>
      </c>
      <c r="B5" s="3" t="s">
        <v>150</v>
      </c>
      <c r="C5" s="4">
        <v>4</v>
      </c>
      <c r="D5" s="4">
        <v>176</v>
      </c>
      <c r="E5" s="4">
        <v>126</v>
      </c>
      <c r="F5" s="4">
        <f>D5-E5</f>
        <v>50</v>
      </c>
      <c r="G5" s="4">
        <f>IF(D5=0,0,ROUND((E5/D5)*100,0))</f>
        <v>72</v>
      </c>
    </row>
    <row r="6" spans="1:7" ht="5.0999999999999996" customHeight="1" x14ac:dyDescent="0.25"/>
    <row r="7" spans="1:7" ht="20.100000000000001" customHeight="1" x14ac:dyDescent="0.25">
      <c r="A7" s="3" t="s">
        <v>46</v>
      </c>
      <c r="B7" s="3" t="s">
        <v>148</v>
      </c>
      <c r="C7" s="4">
        <v>15</v>
      </c>
      <c r="D7" s="4">
        <v>720</v>
      </c>
      <c r="E7" s="4">
        <v>761</v>
      </c>
      <c r="F7" s="4">
        <f>D7-E7</f>
        <v>-41</v>
      </c>
      <c r="G7" s="4">
        <f>IF(D7=0,0,ROUND((E7/D7)*100,0))</f>
        <v>106</v>
      </c>
    </row>
    <row r="8" spans="1:7" ht="20.100000000000001" customHeight="1" x14ac:dyDescent="0.25">
      <c r="A8" s="7" t="s">
        <v>46</v>
      </c>
      <c r="B8" s="7" t="s">
        <v>149</v>
      </c>
      <c r="C8" s="8">
        <v>9</v>
      </c>
      <c r="D8" s="8">
        <v>336</v>
      </c>
      <c r="E8" s="8">
        <v>358</v>
      </c>
      <c r="F8" s="8">
        <f>D8-E8</f>
        <v>-22</v>
      </c>
      <c r="G8" s="8">
        <f>IF(D8=0,0,ROUND((E8/D8)*100,0))</f>
        <v>107</v>
      </c>
    </row>
    <row r="9" spans="1:7" ht="20.100000000000001" customHeight="1" x14ac:dyDescent="0.25">
      <c r="A9" s="3" t="s">
        <v>46</v>
      </c>
      <c r="B9" s="3" t="s">
        <v>150</v>
      </c>
      <c r="C9" s="4">
        <v>6</v>
      </c>
      <c r="D9" s="4">
        <v>241</v>
      </c>
      <c r="E9" s="4">
        <v>155</v>
      </c>
      <c r="F9" s="4">
        <f>D9-E9</f>
        <v>86</v>
      </c>
      <c r="G9" s="4">
        <f>IF(D9=0,0,ROUND((E9/D9)*100,0))</f>
        <v>64</v>
      </c>
    </row>
    <row r="10" spans="1:7" ht="5.0999999999999996" customHeight="1" x14ac:dyDescent="0.25"/>
    <row r="11" spans="1:7" ht="20.100000000000001" customHeight="1" x14ac:dyDescent="0.25">
      <c r="A11" s="3" t="s">
        <v>68</v>
      </c>
      <c r="B11" s="3" t="s">
        <v>148</v>
      </c>
      <c r="C11" s="4">
        <v>6</v>
      </c>
      <c r="D11" s="4">
        <v>325</v>
      </c>
      <c r="E11" s="4">
        <v>341</v>
      </c>
      <c r="F11" s="4">
        <f>D11-E11</f>
        <v>-16</v>
      </c>
      <c r="G11" s="4">
        <f>IF(D11=0,0,ROUND((E11/D11)*100,0))</f>
        <v>105</v>
      </c>
    </row>
    <row r="12" spans="1:7" ht="20.100000000000001" customHeight="1" x14ac:dyDescent="0.25">
      <c r="A12" s="7" t="s">
        <v>68</v>
      </c>
      <c r="B12" s="7" t="s">
        <v>149</v>
      </c>
      <c r="C12" s="8">
        <v>10</v>
      </c>
      <c r="D12" s="8">
        <v>360</v>
      </c>
      <c r="E12" s="8">
        <v>384</v>
      </c>
      <c r="F12" s="8">
        <f>D12-E12</f>
        <v>-24</v>
      </c>
      <c r="G12" s="8">
        <f>IF(D12=0,0,ROUND((E12/D12)*100,0))</f>
        <v>107</v>
      </c>
    </row>
    <row r="13" spans="1:7" ht="20.100000000000001" customHeight="1" x14ac:dyDescent="0.25">
      <c r="A13" s="3" t="s">
        <v>68</v>
      </c>
      <c r="B13" s="3" t="s">
        <v>150</v>
      </c>
      <c r="C13" s="4">
        <v>11</v>
      </c>
      <c r="D13" s="4">
        <v>559</v>
      </c>
      <c r="E13" s="4">
        <v>534</v>
      </c>
      <c r="F13" s="4">
        <f>D13-E13</f>
        <v>25</v>
      </c>
      <c r="G13" s="4">
        <f>IF(D13=0,0,ROUND((E13/D13)*100,0))</f>
        <v>96</v>
      </c>
    </row>
    <row r="14" spans="1:7" ht="5.0999999999999996" customHeight="1" x14ac:dyDescent="0.25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TODO BNGRC</vt:lpstr>
      <vt:lpstr>Récap Équipe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2026-02-17T12:51:13Z</dcterms:created>
  <dcterms:modified xsi:type="dcterms:W3CDTF">2026-02-17T09:56:50Z</dcterms:modified>
</cp:coreProperties>
</file>